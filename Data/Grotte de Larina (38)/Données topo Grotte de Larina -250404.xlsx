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OneDrive\Documents\spéléo\Topos\38 - Isère\L'Isle Cremieu\Zone Larina\Grotte de Larina\Topo Larina\"/>
    </mc:Choice>
  </mc:AlternateContent>
  <xr:revisionPtr revIDLastSave="0" documentId="13_ncr:1_{06279EC6-FA2D-4991-B112-A61AC819EDFB}" xr6:coauthVersionLast="47" xr6:coauthVersionMax="47" xr10:uidLastSave="{00000000-0000-0000-0000-000000000000}"/>
  <bookViews>
    <workbookView xWindow="28680" yWindow="-120" windowWidth="29040" windowHeight="15720" xr2:uid="{F8C4EA70-6EF6-4FD6-8006-0DBFF3C6B107}"/>
  </bookViews>
  <sheets>
    <sheet name="report carnet" sheetId="2" r:id="rId1"/>
    <sheet name="calcu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B17" i="1"/>
  <c r="H20" i="2"/>
  <c r="H19" i="2"/>
  <c r="J22" i="2"/>
  <c r="J21" i="2"/>
  <c r="J18" i="2"/>
  <c r="J17" i="2"/>
  <c r="J14" i="2"/>
  <c r="J13" i="2"/>
  <c r="J9" i="2"/>
  <c r="J15" i="2"/>
  <c r="J19" i="2"/>
  <c r="J3" i="2"/>
  <c r="H9" i="2"/>
  <c r="H13" i="2"/>
  <c r="H14" i="2"/>
  <c r="H15" i="2"/>
  <c r="H21" i="2"/>
  <c r="H22" i="2"/>
  <c r="H3" i="2"/>
  <c r="F5" i="2"/>
  <c r="F6" i="2"/>
  <c r="C21" i="2"/>
  <c r="D21" i="2" s="1"/>
  <c r="C18" i="2"/>
  <c r="D18" i="2" s="1"/>
  <c r="F4" i="2"/>
  <c r="D3" i="2"/>
  <c r="F17" i="2"/>
  <c r="F18" i="2"/>
  <c r="F19" i="2"/>
  <c r="F20" i="2"/>
  <c r="F21" i="2"/>
  <c r="F22" i="2"/>
  <c r="F23" i="2"/>
  <c r="F24" i="2"/>
  <c r="F25" i="2"/>
  <c r="F26" i="2"/>
  <c r="D19" i="2"/>
  <c r="D20" i="2"/>
  <c r="J20" i="2" s="1"/>
  <c r="D22" i="2"/>
  <c r="D23" i="2"/>
  <c r="D24" i="2"/>
  <c r="D25" i="2"/>
  <c r="D26" i="2"/>
  <c r="F3" i="2"/>
  <c r="F7" i="2"/>
  <c r="F8" i="2"/>
  <c r="F9" i="2"/>
  <c r="F10" i="2"/>
  <c r="F11" i="2"/>
  <c r="F12" i="2"/>
  <c r="F13" i="2"/>
  <c r="F14" i="2"/>
  <c r="F15" i="2"/>
  <c r="F16" i="2"/>
  <c r="F2" i="2"/>
  <c r="D4" i="2"/>
  <c r="J4" i="2" s="1"/>
  <c r="D5" i="2"/>
  <c r="J5" i="2" s="1"/>
  <c r="D6" i="2"/>
  <c r="J6" i="2" s="1"/>
  <c r="D7" i="2"/>
  <c r="D8" i="2"/>
  <c r="D9" i="2"/>
  <c r="D10" i="2"/>
  <c r="D11" i="2"/>
  <c r="D12" i="2"/>
  <c r="J12" i="2" s="1"/>
  <c r="D13" i="2"/>
  <c r="D14" i="2"/>
  <c r="D15" i="2"/>
  <c r="D16" i="2"/>
  <c r="J16" i="2" s="1"/>
  <c r="D17" i="2"/>
  <c r="D2" i="2"/>
  <c r="C7" i="1"/>
  <c r="C5" i="1"/>
  <c r="C6" i="1" s="1"/>
  <c r="C8" i="1" s="1"/>
  <c r="D9" i="1" s="1"/>
  <c r="H12" i="2" l="1"/>
  <c r="H18" i="2"/>
  <c r="H6" i="2"/>
  <c r="H17" i="2"/>
  <c r="H5" i="2"/>
  <c r="H16" i="2"/>
  <c r="H4" i="2"/>
</calcChain>
</file>

<file path=xl/sharedStrings.xml><?xml version="1.0" encoding="utf-8"?>
<sst xmlns="http://schemas.openxmlformats.org/spreadsheetml/2006/main" count="52" uniqueCount="52">
  <si>
    <t>sin =</t>
  </si>
  <si>
    <t>radians</t>
  </si>
  <si>
    <t>conversion</t>
  </si>
  <si>
    <t>degré</t>
  </si>
  <si>
    <t>station</t>
  </si>
  <si>
    <t>Pente (°)</t>
  </si>
  <si>
    <t>point
visé</t>
  </si>
  <si>
    <r>
      <rPr>
        <sz val="10"/>
        <color theme="1"/>
        <rFont val="Aptos Narrow"/>
        <family val="2"/>
        <scheme val="minor"/>
      </rPr>
      <t>Az</t>
    </r>
    <r>
      <rPr>
        <sz val="8"/>
        <color theme="1"/>
        <rFont val="Aptos Narrow"/>
        <family val="2"/>
        <scheme val="minor"/>
      </rPr>
      <t xml:space="preserve">
(grade)</t>
    </r>
  </si>
  <si>
    <t>inclinaison
(°)</t>
  </si>
  <si>
    <t>G (m)</t>
  </si>
  <si>
    <t>D (m)</t>
  </si>
  <si>
    <t>Haut (m)</t>
  </si>
  <si>
    <t>Bas (m)</t>
  </si>
  <si>
    <t>Remarques</t>
  </si>
  <si>
    <t>calcul angle habillage  axe à l'entrée (117°-272°)</t>
  </si>
  <si>
    <t xml:space="preserve">complément : </t>
  </si>
  <si>
    <t>direction nord</t>
  </si>
  <si>
    <t>225 + 72 =</t>
  </si>
  <si>
    <t>297°</t>
  </si>
  <si>
    <t>inverse sud</t>
  </si>
  <si>
    <t>117°</t>
  </si>
  <si>
    <t>Estimation direction à l'entrée du porche (oubli mesure)</t>
  </si>
  <si>
    <t>on suppose que la paroi gauche s'enfonce à 90°</t>
  </si>
  <si>
    <t>distance à la paroi gauche en 1</t>
  </si>
  <si>
    <t>longueur entre stations 0 et 1</t>
  </si>
  <si>
    <t xml:space="preserve">Axe à l'entrée du porche </t>
  </si>
  <si>
    <t>le porche serait orienté vers le Nord-Est. C'est probable.</t>
  </si>
  <si>
    <t>Long.
(m)</t>
  </si>
  <si>
    <t>4.1</t>
  </si>
  <si>
    <t>4.2</t>
  </si>
  <si>
    <t>5.1</t>
  </si>
  <si>
    <t>5.2</t>
  </si>
  <si>
    <t xml:space="preserve"> visée inversée (180+138)</t>
  </si>
  <si>
    <t xml:space="preserve"> visée inversée (180+179)</t>
  </si>
  <si>
    <t>avant passage bas</t>
  </si>
  <si>
    <t>après passage bas avant ceusement fouilles</t>
  </si>
  <si>
    <t>mileu premier élargissement salle</t>
  </si>
  <si>
    <t>élargissement gauche</t>
  </si>
  <si>
    <t>élargissement droit</t>
  </si>
  <si>
    <t>sur extrémité lame à droite (marquage rouge)</t>
  </si>
  <si>
    <t>fond niche concrétionnée. Hauteur (du sol) = 4,50m qui sepoursuit en fissure.</t>
  </si>
  <si>
    <t>diaclase remontante calcifiée( remonte en fissure)</t>
  </si>
  <si>
    <t>milieu galerie porche au sol</t>
  </si>
  <si>
    <t>Az  habillage gauche</t>
  </si>
  <si>
    <t>Az  habillage droite</t>
  </si>
  <si>
    <t>10.1</t>
  </si>
  <si>
    <t>visée habillage galerie basse impénétrable après coude à gauche au départ du (point 10 ?)calcul pente  : descente de 55 cm estimée</t>
  </si>
  <si>
    <t>Estimation pente sur visée d'habillage du point 10 vers galerie basse impénétrable</t>
  </si>
  <si>
    <t>descente de 55cm estimée ;  axe : 170 grades ; 3,37m de visée</t>
  </si>
  <si>
    <t>pente en radian =</t>
  </si>
  <si>
    <t>pente en degré =</t>
  </si>
  <si>
    <r>
      <rPr>
        <sz val="10"/>
        <color rgb="FF0070C0"/>
        <rFont val="Aptos Narrow"/>
        <family val="2"/>
        <scheme val="minor"/>
      </rPr>
      <t>Az</t>
    </r>
    <r>
      <rPr>
        <sz val="8"/>
        <color rgb="FF0070C0"/>
        <rFont val="Aptos Narrow"/>
        <family val="2"/>
        <scheme val="minor"/>
      </rPr>
      <t xml:space="preserve">
(dégré)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</si>
</sst>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theme="1" tint="0.34998626667073579"/>
      <name val="Aptos Narrow"/>
      <family val="2"/>
      <scheme val="minor"/>
    </font>
    <font>
      <sz val="8"/>
      <color rgb="FF0070C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theme="0" tint="-0.499984740745262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dotted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dotted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dotted">
        <color indexed="64"/>
      </right>
      <top style="thin">
        <color theme="0" tint="-0.499984740745262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3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vertic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0" xfId="0" quotePrefix="1"/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5" fillId="0" borderId="11" xfId="0" applyFont="1" applyBorder="1"/>
    <xf numFmtId="0" fontId="5" fillId="0" borderId="13" xfId="0" applyFont="1" applyBorder="1"/>
    <xf numFmtId="0" fontId="0" fillId="0" borderId="15" xfId="0" applyBorder="1"/>
    <xf numFmtId="0" fontId="0" fillId="0" borderId="16" xfId="0" applyBorder="1"/>
    <xf numFmtId="0" fontId="6" fillId="0" borderId="19" xfId="0" applyFont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0" borderId="23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0" fillId="0" borderId="12" xfId="0" quotePrefix="1" applyBorder="1"/>
    <xf numFmtId="0" fontId="5" fillId="0" borderId="15" xfId="0" applyFont="1" applyBorder="1"/>
    <xf numFmtId="0" fontId="3" fillId="0" borderId="12" xfId="0" applyFont="1" applyBorder="1"/>
    <xf numFmtId="0" fontId="0" fillId="0" borderId="6" xfId="0" applyBorder="1"/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9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BC58A-DB2C-4431-9272-B7CEF6BE570C}">
  <dimension ref="A1:N26"/>
  <sheetViews>
    <sheetView tabSelected="1" workbookViewId="0">
      <pane ySplit="1" topLeftCell="A2" activePane="bottomLeft" state="frozen"/>
      <selection pane="bottomLeft" activeCell="N32" sqref="N32"/>
    </sheetView>
  </sheetViews>
  <sheetFormatPr baseColWidth="10" defaultRowHeight="14.5" x14ac:dyDescent="0.35"/>
  <cols>
    <col min="1" max="1" width="4.7265625" bestFit="1" customWidth="1"/>
    <col min="2" max="2" width="4.7265625" customWidth="1"/>
    <col min="3" max="3" width="6.453125" customWidth="1"/>
    <col min="4" max="4" width="6.453125" bestFit="1" customWidth="1"/>
    <col min="5" max="5" width="7.90625" customWidth="1"/>
    <col min="6" max="6" width="6.453125" bestFit="1" customWidth="1"/>
    <col min="7" max="8" width="6.81640625" customWidth="1"/>
    <col min="9" max="9" width="5.90625" customWidth="1"/>
    <col min="10" max="10" width="6.81640625" customWidth="1"/>
    <col min="11" max="13" width="5.90625" customWidth="1"/>
    <col min="14" max="14" width="87.1796875" customWidth="1"/>
  </cols>
  <sheetData>
    <row r="1" spans="1:14" ht="31.5" x14ac:dyDescent="0.35">
      <c r="A1" s="35" t="s">
        <v>4</v>
      </c>
      <c r="B1" s="36" t="s">
        <v>6</v>
      </c>
      <c r="C1" s="37" t="s">
        <v>7</v>
      </c>
      <c r="D1" s="34" t="s">
        <v>51</v>
      </c>
      <c r="E1" s="38" t="s">
        <v>8</v>
      </c>
      <c r="F1" s="33" t="s">
        <v>5</v>
      </c>
      <c r="G1" s="39" t="s">
        <v>27</v>
      </c>
      <c r="H1" s="34" t="s">
        <v>43</v>
      </c>
      <c r="I1" s="9" t="s">
        <v>9</v>
      </c>
      <c r="J1" s="34" t="s">
        <v>44</v>
      </c>
      <c r="K1" s="9" t="s">
        <v>10</v>
      </c>
      <c r="L1" s="9" t="s">
        <v>11</v>
      </c>
      <c r="M1" s="9" t="s">
        <v>12</v>
      </c>
      <c r="N1" s="10" t="s">
        <v>13</v>
      </c>
    </row>
    <row r="2" spans="1:14" x14ac:dyDescent="0.35">
      <c r="A2" s="21">
        <v>0</v>
      </c>
      <c r="B2" s="22">
        <v>0</v>
      </c>
      <c r="C2" s="5">
        <v>0</v>
      </c>
      <c r="D2" s="17">
        <f>C2*(360/400)</f>
        <v>0</v>
      </c>
      <c r="E2" s="5">
        <v>90</v>
      </c>
      <c r="F2" s="17">
        <f>IF(E2="","",E2-90)</f>
        <v>0</v>
      </c>
      <c r="G2" s="19"/>
      <c r="H2" s="19"/>
      <c r="I2" s="5">
        <v>1.3</v>
      </c>
      <c r="J2" s="19"/>
      <c r="K2" s="5">
        <v>4.2</v>
      </c>
      <c r="L2" s="5">
        <v>2.2200000000000002</v>
      </c>
      <c r="M2" s="5">
        <v>0.6</v>
      </c>
      <c r="N2" s="6" t="s">
        <v>14</v>
      </c>
    </row>
    <row r="3" spans="1:14" x14ac:dyDescent="0.35">
      <c r="A3" s="23">
        <v>0</v>
      </c>
      <c r="B3" s="24">
        <v>1</v>
      </c>
      <c r="C3" s="5">
        <v>250</v>
      </c>
      <c r="D3" s="17">
        <f>C3*(360/400)</f>
        <v>225</v>
      </c>
      <c r="E3" s="5">
        <v>79</v>
      </c>
      <c r="F3" s="17">
        <f t="shared" ref="F3:F26" si="0">IF(E3="","",E3-90)</f>
        <v>-11</v>
      </c>
      <c r="G3" s="19">
        <v>4.8499999999999996</v>
      </c>
      <c r="H3" s="28">
        <f>D3-90</f>
        <v>135</v>
      </c>
      <c r="I3" s="5">
        <v>1.48</v>
      </c>
      <c r="J3" s="28">
        <f>D3+90</f>
        <v>315</v>
      </c>
      <c r="K3" s="5">
        <v>0.94</v>
      </c>
      <c r="L3" s="5">
        <v>1.47</v>
      </c>
      <c r="M3" s="5">
        <v>0.32</v>
      </c>
      <c r="N3" s="6" t="s">
        <v>42</v>
      </c>
    </row>
    <row r="4" spans="1:14" x14ac:dyDescent="0.35">
      <c r="A4" s="23">
        <v>1</v>
      </c>
      <c r="B4" s="24">
        <v>2</v>
      </c>
      <c r="C4" s="5">
        <v>240</v>
      </c>
      <c r="D4" s="17">
        <f t="shared" ref="D4:D26" si="1">C4*(360/400)</f>
        <v>216</v>
      </c>
      <c r="E4" s="5">
        <v>74</v>
      </c>
      <c r="F4" s="17">
        <f t="shared" si="0"/>
        <v>-16</v>
      </c>
      <c r="G4" s="19">
        <v>2.4300000000000002</v>
      </c>
      <c r="H4" s="28">
        <f t="shared" ref="H4:H22" si="2">D4-90</f>
        <v>126</v>
      </c>
      <c r="I4" s="5">
        <v>0.65</v>
      </c>
      <c r="J4" s="28">
        <f t="shared" ref="J4:J20" si="3">D4+90</f>
        <v>306</v>
      </c>
      <c r="K4" s="5">
        <v>0.62</v>
      </c>
      <c r="L4" s="5">
        <v>1.23</v>
      </c>
      <c r="M4" s="5">
        <v>0</v>
      </c>
      <c r="N4" s="6" t="s">
        <v>34</v>
      </c>
    </row>
    <row r="5" spans="1:14" x14ac:dyDescent="0.35">
      <c r="A5" s="23">
        <v>2</v>
      </c>
      <c r="B5" s="24">
        <v>3</v>
      </c>
      <c r="C5" s="5">
        <v>187</v>
      </c>
      <c r="D5" s="17">
        <f t="shared" si="1"/>
        <v>168.3</v>
      </c>
      <c r="E5" s="5">
        <v>82</v>
      </c>
      <c r="F5" s="17">
        <f t="shared" si="0"/>
        <v>-8</v>
      </c>
      <c r="G5" s="19">
        <v>2.5</v>
      </c>
      <c r="H5" s="28">
        <f t="shared" si="2"/>
        <v>78.300000000000011</v>
      </c>
      <c r="I5" s="5">
        <v>0.2</v>
      </c>
      <c r="J5" s="28">
        <f t="shared" si="3"/>
        <v>258.3</v>
      </c>
      <c r="K5" s="5">
        <v>0.74</v>
      </c>
      <c r="L5" s="5">
        <v>1.03</v>
      </c>
      <c r="M5" s="5">
        <v>0</v>
      </c>
      <c r="N5" s="6" t="s">
        <v>35</v>
      </c>
    </row>
    <row r="6" spans="1:14" x14ac:dyDescent="0.35">
      <c r="A6" s="23">
        <v>3</v>
      </c>
      <c r="B6" s="24">
        <v>4</v>
      </c>
      <c r="C6" s="5">
        <v>228</v>
      </c>
      <c r="D6" s="17">
        <f t="shared" si="1"/>
        <v>205.20000000000002</v>
      </c>
      <c r="E6" s="5">
        <v>94</v>
      </c>
      <c r="F6" s="17">
        <f t="shared" si="0"/>
        <v>4</v>
      </c>
      <c r="G6" s="19">
        <v>6.2</v>
      </c>
      <c r="H6" s="28">
        <f t="shared" si="2"/>
        <v>115.20000000000002</v>
      </c>
      <c r="I6" s="5">
        <v>2.69</v>
      </c>
      <c r="J6" s="28">
        <f t="shared" si="3"/>
        <v>295.20000000000005</v>
      </c>
      <c r="K6" s="5">
        <v>2.87</v>
      </c>
      <c r="L6" s="5">
        <v>1.64</v>
      </c>
      <c r="M6" s="5">
        <v>0</v>
      </c>
      <c r="N6" s="6" t="s">
        <v>36</v>
      </c>
    </row>
    <row r="7" spans="1:14" x14ac:dyDescent="0.35">
      <c r="A7" s="23">
        <v>4</v>
      </c>
      <c r="B7" s="24" t="s">
        <v>28</v>
      </c>
      <c r="C7" s="5">
        <v>170</v>
      </c>
      <c r="D7" s="17">
        <f t="shared" si="1"/>
        <v>153</v>
      </c>
      <c r="E7" s="5">
        <v>90</v>
      </c>
      <c r="F7" s="17">
        <f t="shared" si="0"/>
        <v>0</v>
      </c>
      <c r="G7" s="19">
        <v>4.3</v>
      </c>
      <c r="H7" s="28"/>
      <c r="I7" s="5"/>
      <c r="J7" s="28"/>
      <c r="K7" s="5"/>
      <c r="L7" s="5"/>
      <c r="M7" s="5"/>
      <c r="N7" s="6" t="s">
        <v>37</v>
      </c>
    </row>
    <row r="8" spans="1:14" x14ac:dyDescent="0.35">
      <c r="A8" s="23">
        <v>4</v>
      </c>
      <c r="B8" s="24" t="s">
        <v>29</v>
      </c>
      <c r="C8" s="5">
        <v>359</v>
      </c>
      <c r="D8" s="17">
        <f t="shared" si="1"/>
        <v>323.10000000000002</v>
      </c>
      <c r="E8" s="5">
        <v>90</v>
      </c>
      <c r="F8" s="17">
        <f t="shared" si="0"/>
        <v>0</v>
      </c>
      <c r="G8" s="19">
        <v>4.3</v>
      </c>
      <c r="H8" s="28"/>
      <c r="I8" s="5"/>
      <c r="J8" s="28"/>
      <c r="K8" s="5"/>
      <c r="L8" s="5"/>
      <c r="M8" s="5"/>
      <c r="N8" s="6" t="s">
        <v>38</v>
      </c>
    </row>
    <row r="9" spans="1:14" x14ac:dyDescent="0.35">
      <c r="A9" s="23">
        <v>4</v>
      </c>
      <c r="B9" s="24">
        <v>5</v>
      </c>
      <c r="C9" s="5">
        <v>274</v>
      </c>
      <c r="D9" s="17">
        <f t="shared" si="1"/>
        <v>246.6</v>
      </c>
      <c r="E9" s="5">
        <v>93</v>
      </c>
      <c r="F9" s="17">
        <f t="shared" si="0"/>
        <v>3</v>
      </c>
      <c r="G9" s="19">
        <v>3.55</v>
      </c>
      <c r="H9" s="28">
        <f t="shared" si="2"/>
        <v>156.6</v>
      </c>
      <c r="I9" s="5">
        <v>2.69</v>
      </c>
      <c r="J9" s="28">
        <f t="shared" si="3"/>
        <v>336.6</v>
      </c>
      <c r="K9" s="5">
        <v>1.94</v>
      </c>
      <c r="L9" s="5">
        <v>2.68</v>
      </c>
      <c r="M9" s="5">
        <v>0.85</v>
      </c>
      <c r="N9" s="6" t="s">
        <v>39</v>
      </c>
    </row>
    <row r="10" spans="1:14" x14ac:dyDescent="0.35">
      <c r="A10" s="23">
        <v>5</v>
      </c>
      <c r="B10" s="24" t="s">
        <v>30</v>
      </c>
      <c r="C10" s="5">
        <v>165</v>
      </c>
      <c r="D10" s="17">
        <f t="shared" si="1"/>
        <v>148.5</v>
      </c>
      <c r="E10" s="5">
        <v>90</v>
      </c>
      <c r="F10" s="17">
        <f t="shared" si="0"/>
        <v>0</v>
      </c>
      <c r="G10" s="19">
        <v>4.8499999999999996</v>
      </c>
      <c r="H10" s="28"/>
      <c r="I10" s="5"/>
      <c r="J10" s="28"/>
      <c r="K10" s="5"/>
      <c r="L10" s="5"/>
      <c r="M10" s="5"/>
      <c r="N10" s="6" t="s">
        <v>40</v>
      </c>
    </row>
    <row r="11" spans="1:14" x14ac:dyDescent="0.35">
      <c r="A11" s="23">
        <v>5</v>
      </c>
      <c r="B11" s="24" t="s">
        <v>31</v>
      </c>
      <c r="C11" s="5">
        <v>380</v>
      </c>
      <c r="D11" s="17">
        <f t="shared" si="1"/>
        <v>342</v>
      </c>
      <c r="E11" s="5">
        <v>123</v>
      </c>
      <c r="F11" s="17">
        <f t="shared" si="0"/>
        <v>33</v>
      </c>
      <c r="G11" s="19">
        <v>3.75</v>
      </c>
      <c r="H11" s="28"/>
      <c r="I11" s="5"/>
      <c r="J11" s="28"/>
      <c r="K11" s="5"/>
      <c r="L11" s="5"/>
      <c r="M11" s="5"/>
      <c r="N11" s="6" t="s">
        <v>41</v>
      </c>
    </row>
    <row r="12" spans="1:14" x14ac:dyDescent="0.35">
      <c r="A12" s="23">
        <v>5</v>
      </c>
      <c r="B12" s="24">
        <v>6</v>
      </c>
      <c r="C12" s="5">
        <v>250</v>
      </c>
      <c r="D12" s="17">
        <f t="shared" si="1"/>
        <v>225</v>
      </c>
      <c r="E12" s="5">
        <v>92</v>
      </c>
      <c r="F12" s="17">
        <f t="shared" si="0"/>
        <v>2</v>
      </c>
      <c r="G12" s="19">
        <v>5.0199999999999996</v>
      </c>
      <c r="H12" s="28">
        <f t="shared" si="2"/>
        <v>135</v>
      </c>
      <c r="I12" s="5">
        <v>0.89</v>
      </c>
      <c r="J12" s="28">
        <f t="shared" si="3"/>
        <v>315</v>
      </c>
      <c r="K12" s="5">
        <v>1.33</v>
      </c>
      <c r="L12" s="5">
        <v>0.92</v>
      </c>
      <c r="M12" s="5">
        <v>0</v>
      </c>
      <c r="N12" s="6"/>
    </row>
    <row r="13" spans="1:14" x14ac:dyDescent="0.35">
      <c r="A13" s="23">
        <v>6</v>
      </c>
      <c r="B13" s="24">
        <v>7</v>
      </c>
      <c r="C13" s="5">
        <v>344</v>
      </c>
      <c r="D13" s="17">
        <f t="shared" si="1"/>
        <v>309.60000000000002</v>
      </c>
      <c r="E13" s="5">
        <v>92</v>
      </c>
      <c r="F13" s="17">
        <f t="shared" si="0"/>
        <v>2</v>
      </c>
      <c r="G13" s="19">
        <v>2.36</v>
      </c>
      <c r="H13" s="28">
        <f t="shared" si="2"/>
        <v>219.60000000000002</v>
      </c>
      <c r="I13" s="5">
        <v>0.81</v>
      </c>
      <c r="J13" s="28">
        <f>D13+90-360</f>
        <v>39.600000000000023</v>
      </c>
      <c r="K13" s="5">
        <v>0.74</v>
      </c>
      <c r="L13" s="5">
        <v>0.83</v>
      </c>
      <c r="M13" s="5">
        <v>0</v>
      </c>
      <c r="N13" s="6"/>
    </row>
    <row r="14" spans="1:14" x14ac:dyDescent="0.35">
      <c r="A14" s="23">
        <v>7</v>
      </c>
      <c r="B14" s="24">
        <v>8</v>
      </c>
      <c r="C14" s="5">
        <v>335</v>
      </c>
      <c r="D14" s="17">
        <f t="shared" si="1"/>
        <v>301.5</v>
      </c>
      <c r="E14" s="5">
        <v>94</v>
      </c>
      <c r="F14" s="17">
        <f t="shared" si="0"/>
        <v>4</v>
      </c>
      <c r="G14" s="19">
        <v>7.97</v>
      </c>
      <c r="H14" s="28">
        <f t="shared" si="2"/>
        <v>211.5</v>
      </c>
      <c r="I14" s="5">
        <v>1.96</v>
      </c>
      <c r="J14" s="28">
        <f>D14+90-360</f>
        <v>31.5</v>
      </c>
      <c r="K14" s="5">
        <v>0.6</v>
      </c>
      <c r="L14" s="5">
        <v>0.31</v>
      </c>
      <c r="M14" s="5">
        <v>0.36</v>
      </c>
      <c r="N14" s="6"/>
    </row>
    <row r="15" spans="1:14" x14ac:dyDescent="0.35">
      <c r="A15" s="23">
        <v>8</v>
      </c>
      <c r="B15" s="24">
        <v>9</v>
      </c>
      <c r="C15" s="5">
        <v>290</v>
      </c>
      <c r="D15" s="17">
        <f t="shared" si="1"/>
        <v>261</v>
      </c>
      <c r="E15" s="5">
        <v>92</v>
      </c>
      <c r="F15" s="17">
        <f t="shared" si="0"/>
        <v>2</v>
      </c>
      <c r="G15" s="19">
        <v>4</v>
      </c>
      <c r="H15" s="28">
        <f t="shared" si="2"/>
        <v>171</v>
      </c>
      <c r="I15" s="5">
        <v>1.71</v>
      </c>
      <c r="J15" s="28">
        <f t="shared" si="3"/>
        <v>351</v>
      </c>
      <c r="K15" s="5">
        <v>0.75</v>
      </c>
      <c r="L15" s="5">
        <v>0.99</v>
      </c>
      <c r="M15" s="5">
        <v>0</v>
      </c>
      <c r="N15" s="6"/>
    </row>
    <row r="16" spans="1:14" x14ac:dyDescent="0.35">
      <c r="A16" s="23">
        <v>9</v>
      </c>
      <c r="B16" s="24">
        <v>10</v>
      </c>
      <c r="C16" s="5">
        <v>222</v>
      </c>
      <c r="D16" s="17">
        <f t="shared" si="1"/>
        <v>199.8</v>
      </c>
      <c r="E16" s="5">
        <v>85</v>
      </c>
      <c r="F16" s="17">
        <f t="shared" si="0"/>
        <v>-5</v>
      </c>
      <c r="G16" s="19">
        <v>2.65</v>
      </c>
      <c r="H16" s="28">
        <f t="shared" si="2"/>
        <v>109.80000000000001</v>
      </c>
      <c r="I16" s="5">
        <v>1.35</v>
      </c>
      <c r="J16" s="28">
        <f t="shared" si="3"/>
        <v>289.8</v>
      </c>
      <c r="K16" s="5">
        <v>0.89</v>
      </c>
      <c r="L16" s="5">
        <v>0.94</v>
      </c>
      <c r="M16" s="5">
        <v>0</v>
      </c>
      <c r="N16" s="6"/>
    </row>
    <row r="17" spans="1:14" x14ac:dyDescent="0.35">
      <c r="A17" s="23">
        <v>10</v>
      </c>
      <c r="B17" s="24">
        <v>11</v>
      </c>
      <c r="C17" s="5">
        <v>335</v>
      </c>
      <c r="D17" s="17">
        <f t="shared" si="1"/>
        <v>301.5</v>
      </c>
      <c r="E17" s="5">
        <v>71</v>
      </c>
      <c r="F17" s="17">
        <f t="shared" si="0"/>
        <v>-19</v>
      </c>
      <c r="G17" s="19">
        <v>1.45</v>
      </c>
      <c r="H17" s="28">
        <f t="shared" si="2"/>
        <v>211.5</v>
      </c>
      <c r="I17" s="5">
        <v>0.53</v>
      </c>
      <c r="J17" s="28">
        <f>D17+90-360</f>
        <v>31.5</v>
      </c>
      <c r="K17" s="5">
        <v>0.37</v>
      </c>
      <c r="L17" s="5">
        <v>0.32</v>
      </c>
      <c r="M17" s="5">
        <v>0</v>
      </c>
      <c r="N17" s="6"/>
    </row>
    <row r="18" spans="1:14" x14ac:dyDescent="0.35">
      <c r="A18" s="23">
        <v>11</v>
      </c>
      <c r="B18" s="24">
        <v>12</v>
      </c>
      <c r="C18" s="5">
        <f>180+138</f>
        <v>318</v>
      </c>
      <c r="D18" s="17">
        <f t="shared" si="1"/>
        <v>286.2</v>
      </c>
      <c r="E18" s="5">
        <v>101</v>
      </c>
      <c r="F18" s="17">
        <f t="shared" si="0"/>
        <v>11</v>
      </c>
      <c r="G18" s="19">
        <v>1.93</v>
      </c>
      <c r="H18" s="28">
        <f t="shared" si="2"/>
        <v>196.2</v>
      </c>
      <c r="I18" s="5">
        <v>0.1</v>
      </c>
      <c r="J18" s="28">
        <f>D18+90-360</f>
        <v>16.199999999999989</v>
      </c>
      <c r="K18" s="5">
        <v>0.5</v>
      </c>
      <c r="L18" s="5">
        <v>0.41</v>
      </c>
      <c r="M18" s="5">
        <v>0</v>
      </c>
      <c r="N18" s="27" t="s">
        <v>32</v>
      </c>
    </row>
    <row r="19" spans="1:14" x14ac:dyDescent="0.35">
      <c r="A19" s="23">
        <v>12</v>
      </c>
      <c r="B19" s="24">
        <v>13</v>
      </c>
      <c r="C19" s="5">
        <v>5</v>
      </c>
      <c r="D19" s="17">
        <f t="shared" si="1"/>
        <v>4.5</v>
      </c>
      <c r="E19" s="5">
        <v>95</v>
      </c>
      <c r="F19" s="17">
        <f t="shared" si="0"/>
        <v>5</v>
      </c>
      <c r="G19" s="19">
        <v>1.44</v>
      </c>
      <c r="H19" s="28">
        <f>D19-90+360</f>
        <v>274.5</v>
      </c>
      <c r="I19" s="5">
        <v>0.47</v>
      </c>
      <c r="J19" s="28">
        <f t="shared" si="3"/>
        <v>94.5</v>
      </c>
      <c r="K19" s="5">
        <v>0.74</v>
      </c>
      <c r="L19" s="5">
        <v>0.57999999999999996</v>
      </c>
      <c r="M19" s="5">
        <v>0</v>
      </c>
      <c r="N19" s="6"/>
    </row>
    <row r="20" spans="1:14" x14ac:dyDescent="0.35">
      <c r="A20" s="23">
        <v>13</v>
      </c>
      <c r="B20" s="24">
        <v>14</v>
      </c>
      <c r="C20" s="5">
        <v>19</v>
      </c>
      <c r="D20" s="17">
        <f t="shared" si="1"/>
        <v>17.100000000000001</v>
      </c>
      <c r="E20" s="5">
        <v>76</v>
      </c>
      <c r="F20" s="17">
        <f t="shared" si="0"/>
        <v>-14</v>
      </c>
      <c r="G20" s="19">
        <v>1.43</v>
      </c>
      <c r="H20" s="28">
        <f>D20-90+360</f>
        <v>287.10000000000002</v>
      </c>
      <c r="I20" s="5">
        <v>0.33</v>
      </c>
      <c r="J20" s="28">
        <f t="shared" si="3"/>
        <v>107.1</v>
      </c>
      <c r="K20" s="5">
        <v>0.28999999999999998</v>
      </c>
      <c r="L20" s="5">
        <v>0.28999999999999998</v>
      </c>
      <c r="M20" s="5">
        <v>0</v>
      </c>
      <c r="N20" s="27"/>
    </row>
    <row r="21" spans="1:14" x14ac:dyDescent="0.35">
      <c r="A21" s="23">
        <v>14</v>
      </c>
      <c r="B21" s="24">
        <v>15</v>
      </c>
      <c r="C21" s="5">
        <f>179+180</f>
        <v>359</v>
      </c>
      <c r="D21" s="17">
        <f t="shared" si="1"/>
        <v>323.10000000000002</v>
      </c>
      <c r="E21" s="5">
        <v>121</v>
      </c>
      <c r="F21" s="17">
        <f t="shared" si="0"/>
        <v>31</v>
      </c>
      <c r="G21" s="19">
        <v>2.2400000000000002</v>
      </c>
      <c r="H21" s="28">
        <f t="shared" si="2"/>
        <v>233.10000000000002</v>
      </c>
      <c r="I21" s="5">
        <v>0.65</v>
      </c>
      <c r="J21" s="28">
        <f>D21+90-360</f>
        <v>53.100000000000023</v>
      </c>
      <c r="K21" s="5">
        <v>0.36</v>
      </c>
      <c r="L21" s="5">
        <v>0.64</v>
      </c>
      <c r="M21" s="5">
        <v>0.45</v>
      </c>
      <c r="N21" s="27" t="s">
        <v>33</v>
      </c>
    </row>
    <row r="22" spans="1:14" x14ac:dyDescent="0.35">
      <c r="A22" s="23">
        <v>15</v>
      </c>
      <c r="B22" s="24">
        <v>16</v>
      </c>
      <c r="C22" s="5">
        <v>360</v>
      </c>
      <c r="D22" s="17">
        <f t="shared" si="1"/>
        <v>324</v>
      </c>
      <c r="E22" s="5">
        <v>83</v>
      </c>
      <c r="F22" s="17">
        <f t="shared" si="0"/>
        <v>-7</v>
      </c>
      <c r="G22" s="19">
        <v>2.21</v>
      </c>
      <c r="H22" s="28">
        <f t="shared" si="2"/>
        <v>234</v>
      </c>
      <c r="I22" s="5">
        <v>0.25</v>
      </c>
      <c r="J22" s="28">
        <f>D22+90-360</f>
        <v>54</v>
      </c>
      <c r="K22" s="5">
        <v>0.25</v>
      </c>
      <c r="L22" s="5">
        <v>0.3</v>
      </c>
      <c r="M22" s="5">
        <v>0</v>
      </c>
      <c r="N22" s="6"/>
    </row>
    <row r="23" spans="1:14" x14ac:dyDescent="0.35">
      <c r="A23" s="23"/>
      <c r="B23" s="24"/>
      <c r="C23" s="5"/>
      <c r="D23" s="17">
        <f t="shared" si="1"/>
        <v>0</v>
      </c>
      <c r="E23" s="5"/>
      <c r="F23" s="17" t="str">
        <f t="shared" si="0"/>
        <v/>
      </c>
      <c r="G23" s="19"/>
      <c r="H23" s="19"/>
      <c r="I23" s="5"/>
      <c r="J23" s="19"/>
      <c r="K23" s="5"/>
      <c r="L23" s="5"/>
      <c r="M23" s="5"/>
      <c r="N23" s="6"/>
    </row>
    <row r="24" spans="1:14" x14ac:dyDescent="0.35">
      <c r="A24" s="23">
        <v>10</v>
      </c>
      <c r="B24" s="24" t="s">
        <v>45</v>
      </c>
      <c r="C24" s="5">
        <v>170</v>
      </c>
      <c r="D24" s="17">
        <f t="shared" si="1"/>
        <v>153</v>
      </c>
      <c r="E24" s="5"/>
      <c r="F24" s="17" t="str">
        <f t="shared" si="0"/>
        <v/>
      </c>
      <c r="G24" s="19">
        <v>3.37</v>
      </c>
      <c r="H24" s="19"/>
      <c r="I24" s="5"/>
      <c r="J24" s="19"/>
      <c r="K24" s="5"/>
      <c r="L24" s="5"/>
      <c r="M24" s="5"/>
      <c r="N24" s="29" t="s">
        <v>46</v>
      </c>
    </row>
    <row r="25" spans="1:14" x14ac:dyDescent="0.35">
      <c r="A25" s="23"/>
      <c r="B25" s="24"/>
      <c r="C25" s="5"/>
      <c r="D25" s="17">
        <f t="shared" si="1"/>
        <v>0</v>
      </c>
      <c r="E25" s="5"/>
      <c r="F25" s="17" t="str">
        <f t="shared" si="0"/>
        <v/>
      </c>
      <c r="G25" s="19"/>
      <c r="H25" s="19"/>
      <c r="I25" s="5"/>
      <c r="J25" s="19"/>
      <c r="K25" s="5"/>
      <c r="L25" s="5"/>
      <c r="M25" s="5"/>
      <c r="N25" s="6"/>
    </row>
    <row r="26" spans="1:14" x14ac:dyDescent="0.35">
      <c r="A26" s="25"/>
      <c r="B26" s="26"/>
      <c r="C26" s="7"/>
      <c r="D26" s="18">
        <f t="shared" si="1"/>
        <v>0</v>
      </c>
      <c r="E26" s="7"/>
      <c r="F26" s="18" t="str">
        <f t="shared" si="0"/>
        <v/>
      </c>
      <c r="G26" s="20"/>
      <c r="H26" s="20"/>
      <c r="I26" s="7"/>
      <c r="J26" s="20"/>
      <c r="K26" s="7"/>
      <c r="L26" s="7"/>
      <c r="M26" s="7"/>
      <c r="N2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A301-0B36-4C07-901F-399776AF2CD7}">
  <dimension ref="A1:E18"/>
  <sheetViews>
    <sheetView workbookViewId="0">
      <selection activeCell="I22" sqref="I22"/>
    </sheetView>
  </sheetViews>
  <sheetFormatPr baseColWidth="10" defaultRowHeight="14.5" x14ac:dyDescent="0.35"/>
  <cols>
    <col min="1" max="1" width="29.36328125" customWidth="1"/>
    <col min="3" max="3" width="12.26953125" bestFit="1" customWidth="1"/>
  </cols>
  <sheetData>
    <row r="1" spans="1:5" x14ac:dyDescent="0.35">
      <c r="A1" s="11" t="s">
        <v>21</v>
      </c>
      <c r="B1" s="12"/>
      <c r="C1" s="12"/>
      <c r="D1" s="12"/>
      <c r="E1" s="13"/>
    </row>
    <row r="2" spans="1:5" x14ac:dyDescent="0.35">
      <c r="A2" s="1" t="s">
        <v>22</v>
      </c>
      <c r="E2" s="2"/>
    </row>
    <row r="3" spans="1:5" x14ac:dyDescent="0.35">
      <c r="A3" s="1" t="s">
        <v>23</v>
      </c>
      <c r="B3">
        <v>1.48</v>
      </c>
      <c r="E3" s="2"/>
    </row>
    <row r="4" spans="1:5" x14ac:dyDescent="0.35">
      <c r="A4" s="1" t="s">
        <v>24</v>
      </c>
      <c r="B4">
        <v>4.8499999999999996</v>
      </c>
      <c r="E4" s="2"/>
    </row>
    <row r="5" spans="1:5" x14ac:dyDescent="0.35">
      <c r="A5" s="1"/>
      <c r="B5" t="s">
        <v>0</v>
      </c>
      <c r="C5">
        <f>1.48/4.85</f>
        <v>0.30515463917525776</v>
      </c>
      <c r="E5" s="2"/>
    </row>
    <row r="6" spans="1:5" x14ac:dyDescent="0.35">
      <c r="A6" s="1"/>
      <c r="C6">
        <f>ASIN(C5)</f>
        <v>0.31010080951160457</v>
      </c>
      <c r="D6" t="s">
        <v>1</v>
      </c>
      <c r="E6" s="2"/>
    </row>
    <row r="7" spans="1:5" x14ac:dyDescent="0.35">
      <c r="A7" s="1"/>
      <c r="B7" t="s">
        <v>2</v>
      </c>
      <c r="C7">
        <f>180/PI()</f>
        <v>57.295779513082323</v>
      </c>
      <c r="E7" s="2"/>
    </row>
    <row r="8" spans="1:5" x14ac:dyDescent="0.35">
      <c r="A8" s="1"/>
      <c r="C8">
        <f>C6*C7</f>
        <v>17.767467608605237</v>
      </c>
      <c r="D8" t="s">
        <v>3</v>
      </c>
      <c r="E8" s="2"/>
    </row>
    <row r="9" spans="1:5" x14ac:dyDescent="0.35">
      <c r="A9" s="1"/>
      <c r="C9" t="s">
        <v>15</v>
      </c>
      <c r="D9">
        <f>90-C8</f>
        <v>72.232532391394756</v>
      </c>
      <c r="E9" s="2"/>
    </row>
    <row r="10" spans="1:5" x14ac:dyDescent="0.35">
      <c r="A10" s="31" t="s">
        <v>25</v>
      </c>
      <c r="B10" s="32"/>
      <c r="C10" t="s">
        <v>16</v>
      </c>
      <c r="D10" s="14" t="s">
        <v>17</v>
      </c>
      <c r="E10" s="2" t="s">
        <v>18</v>
      </c>
    </row>
    <row r="11" spans="1:5" x14ac:dyDescent="0.35">
      <c r="A11" s="31"/>
      <c r="B11" s="32"/>
      <c r="C11" t="s">
        <v>19</v>
      </c>
      <c r="D11" s="14"/>
      <c r="E11" s="2" t="s">
        <v>20</v>
      </c>
    </row>
    <row r="12" spans="1:5" x14ac:dyDescent="0.35">
      <c r="A12" s="15" t="s">
        <v>26</v>
      </c>
      <c r="B12" s="16"/>
      <c r="C12" s="3"/>
      <c r="D12" s="3"/>
      <c r="E12" s="4"/>
    </row>
    <row r="14" spans="1:5" x14ac:dyDescent="0.35">
      <c r="A14" s="11" t="s">
        <v>47</v>
      </c>
      <c r="B14" s="12"/>
      <c r="C14" s="12"/>
      <c r="D14" s="12"/>
      <c r="E14" s="13"/>
    </row>
    <row r="15" spans="1:5" x14ac:dyDescent="0.35">
      <c r="A15" s="1" t="s">
        <v>48</v>
      </c>
      <c r="E15" s="2"/>
    </row>
    <row r="16" spans="1:5" x14ac:dyDescent="0.35">
      <c r="A16" s="1"/>
      <c r="E16" s="2"/>
    </row>
    <row r="17" spans="1:5" x14ac:dyDescent="0.35">
      <c r="A17" s="1" t="s">
        <v>49</v>
      </c>
      <c r="B17">
        <f>ASIN(0.55/3.37)</f>
        <v>0.16393808666797927</v>
      </c>
      <c r="E17" s="2"/>
    </row>
    <row r="18" spans="1:5" x14ac:dyDescent="0.35">
      <c r="A18" s="30" t="s">
        <v>50</v>
      </c>
      <c r="B18" s="3">
        <f>360 *B17/(2*PI())</f>
        <v>9.3929604675251195</v>
      </c>
      <c r="C18" s="3"/>
      <c r="D18" s="3"/>
      <c r="E18" s="4"/>
    </row>
  </sheetData>
  <mergeCells count="1">
    <mergeCell ref="A10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report carnet</vt:lpstr>
      <vt:lpstr>calcul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Famille BRUNEL VAUTRELLE</dc:creator>
  <cp:lastModifiedBy>Famille BRUNEL VAUTRELLE</cp:lastModifiedBy>
  <dcterms:created xsi:type="dcterms:W3CDTF">2025-04-05T14:44:54Z</dcterms:created>
  <dcterms:modified xsi:type="dcterms:W3CDTF">2025-04-08T07:24:09Z</dcterms:modified>
</cp:coreProperties>
</file>