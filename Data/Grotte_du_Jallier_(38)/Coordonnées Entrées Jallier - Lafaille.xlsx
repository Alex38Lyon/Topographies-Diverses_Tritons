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01 Synology Drive [Blade 15]\00 A Classer sur [Cloud]\Grotte du Jallier (38)\"/>
    </mc:Choice>
  </mc:AlternateContent>
  <xr:revisionPtr revIDLastSave="0" documentId="13_ncr:1_{089A0153-7AAF-4130-A3C5-CAFA7E578CCE}" xr6:coauthVersionLast="47" xr6:coauthVersionMax="47" xr10:uidLastSave="{00000000-0000-0000-0000-000000000000}"/>
  <bookViews>
    <workbookView xWindow="-107" yWindow="-107" windowWidth="20847" windowHeight="1182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B48" i="1"/>
  <c r="C48" i="1"/>
  <c r="D51" i="1"/>
  <c r="C51" i="1"/>
  <c r="B51" i="1"/>
  <c r="B53" i="1" s="1"/>
  <c r="D48" i="1"/>
  <c r="D45" i="1"/>
  <c r="C45" i="1"/>
  <c r="B45" i="1"/>
  <c r="B37" i="1"/>
  <c r="B40" i="1" s="1"/>
  <c r="D35" i="1"/>
  <c r="D37" i="1" s="1"/>
  <c r="D40" i="1" s="1"/>
  <c r="C35" i="1"/>
  <c r="B35" i="1"/>
  <c r="D31" i="1"/>
  <c r="C31" i="1"/>
  <c r="B31" i="1"/>
  <c r="D27" i="1"/>
  <c r="B27" i="1"/>
  <c r="C27" i="1"/>
  <c r="H13" i="1"/>
  <c r="C22" i="1"/>
  <c r="B22" i="1"/>
  <c r="D17" i="1"/>
  <c r="C17" i="1"/>
  <c r="B17" i="1"/>
  <c r="H7" i="1"/>
  <c r="D53" i="1" l="1"/>
  <c r="C53" i="1"/>
  <c r="C37" i="1"/>
  <c r="C40" i="1" s="1"/>
</calcChain>
</file>

<file path=xl/sharedStrings.xml><?xml version="1.0" encoding="utf-8"?>
<sst xmlns="http://schemas.openxmlformats.org/spreadsheetml/2006/main" count="63" uniqueCount="34">
  <si>
    <t>Grotte du Jallier inf</t>
  </si>
  <si>
    <t>Chartreuse souterraine</t>
  </si>
  <si>
    <t>Coordonnées UTM31 WGS84</t>
  </si>
  <si>
    <t>Alex GPS felix5</t>
  </si>
  <si>
    <t>Alex topo surface depuis laffaille</t>
  </si>
  <si>
    <t>Alex topo</t>
  </si>
  <si>
    <t>X</t>
  </si>
  <si>
    <t>Pt topo</t>
  </si>
  <si>
    <t>L21</t>
  </si>
  <si>
    <t>00</t>
  </si>
  <si>
    <t>Commentaire</t>
  </si>
  <si>
    <t>Y</t>
  </si>
  <si>
    <t>Z</t>
  </si>
  <si>
    <t>Distance (m)</t>
  </si>
  <si>
    <t>Grotte du Jallier sub</t>
  </si>
  <si>
    <t>Coordonnées validées</t>
  </si>
  <si>
    <t>Chartreuse souterraine Lambert Centre</t>
  </si>
  <si>
    <t>Chartreuse souterraine LT 2 (sud)</t>
  </si>
  <si>
    <t>Plongeessout (Lambert LT2 étendue)</t>
  </si>
  <si>
    <t>Conversion UTM31/WGS84 Alex</t>
  </si>
  <si>
    <t>Grotte Lafaille</t>
  </si>
  <si>
    <t>Point Ext0</t>
  </si>
  <si>
    <t>Point Ext0 Calculé</t>
  </si>
  <si>
    <t>Ecart</t>
  </si>
  <si>
    <t>Point ExtC1</t>
  </si>
  <si>
    <t>Point ExtC1 Calculé</t>
  </si>
  <si>
    <t>GPS Téléphone Guy le 5/9/22</t>
  </si>
  <si>
    <t>Point ExtF1</t>
  </si>
  <si>
    <t>Point ExtF1 Calculé</t>
  </si>
  <si>
    <t xml:space="preserve">Nouvelles coordonnées </t>
  </si>
  <si>
    <t>Correction à réaliser</t>
  </si>
  <si>
    <t>Coordonnées validées 2022 09 05</t>
  </si>
  <si>
    <t>Vérification</t>
  </si>
  <si>
    <t>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</si>
</sst>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49" fontId="0" fillId="0" borderId="0" xfId="1" applyNumberFormat="1" applyFont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/>
    <xf numFmtId="0" fontId="5" fillId="0" borderId="0" xfId="0" applyFont="1"/>
    <xf numFmtId="0" fontId="3" fillId="0" borderId="0" xfId="0" applyFont="1"/>
    <xf numFmtId="1" fontId="3" fillId="0" borderId="0" xfId="0" applyNumberFormat="1" applyFont="1"/>
    <xf numFmtId="49" fontId="3" fillId="0" borderId="0" xfId="1" applyNumberFormat="1" applyFont="1"/>
    <xf numFmtId="164" fontId="3" fillId="0" borderId="0" xfId="0" applyNumberFormat="1" applyFont="1"/>
    <xf numFmtId="0" fontId="4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33" workbookViewId="0">
      <selection activeCell="H55" sqref="H55"/>
    </sheetView>
  </sheetViews>
  <sheetFormatPr baseColWidth="10" defaultColWidth="8.796875" defaultRowHeight="14" x14ac:dyDescent="0.3"/>
  <cols>
    <col min="1" max="1" width="21.3984375" customWidth="1"/>
    <col min="2" max="2" width="9.3984375" bestFit="1" customWidth="1"/>
    <col min="6" max="6" width="28.59765625" bestFit="1" customWidth="1"/>
    <col min="7" max="7" width="22.19921875" customWidth="1"/>
  </cols>
  <sheetData>
    <row r="1" spans="1:8" ht="22.05" customHeight="1" x14ac:dyDescent="0.3">
      <c r="A1" s="1" t="s">
        <v>2</v>
      </c>
    </row>
    <row r="2" spans="1:8" x14ac:dyDescent="0.3">
      <c r="A2" s="3"/>
      <c r="B2" s="4" t="s">
        <v>6</v>
      </c>
      <c r="C2" s="4" t="s">
        <v>11</v>
      </c>
      <c r="D2" s="4" t="s">
        <v>12</v>
      </c>
      <c r="E2" s="4" t="s">
        <v>7</v>
      </c>
      <c r="F2" s="4" t="s">
        <v>10</v>
      </c>
    </row>
    <row r="3" spans="1:8" x14ac:dyDescent="0.3">
      <c r="A3" t="s">
        <v>20</v>
      </c>
      <c r="B3">
        <v>720.27099999999996</v>
      </c>
      <c r="C3">
        <v>5033.7780000000002</v>
      </c>
      <c r="D3">
        <v>500</v>
      </c>
      <c r="E3" t="s">
        <v>33</v>
      </c>
      <c r="F3" t="s">
        <v>3</v>
      </c>
    </row>
    <row r="4" spans="1:8" x14ac:dyDescent="0.3">
      <c r="A4" t="s">
        <v>14</v>
      </c>
      <c r="B4">
        <v>720.24300000000005</v>
      </c>
      <c r="C4">
        <v>5033.7849999999999</v>
      </c>
      <c r="D4">
        <v>507</v>
      </c>
      <c r="E4" s="2" t="s">
        <v>9</v>
      </c>
      <c r="F4" t="s">
        <v>5</v>
      </c>
    </row>
    <row r="5" spans="1:8" x14ac:dyDescent="0.3">
      <c r="A5" t="s">
        <v>0</v>
      </c>
      <c r="B5">
        <v>720.21900000000005</v>
      </c>
      <c r="C5">
        <v>5033.7950000000001</v>
      </c>
      <c r="D5">
        <v>494</v>
      </c>
      <c r="E5" t="s">
        <v>8</v>
      </c>
      <c r="F5" t="s">
        <v>4</v>
      </c>
    </row>
    <row r="7" spans="1:8" x14ac:dyDescent="0.3">
      <c r="A7" t="s">
        <v>0</v>
      </c>
      <c r="B7">
        <v>720.17700000000002</v>
      </c>
      <c r="C7">
        <v>5033.8119999999999</v>
      </c>
      <c r="D7">
        <v>488</v>
      </c>
      <c r="E7" t="s">
        <v>8</v>
      </c>
      <c r="F7" t="s">
        <v>1</v>
      </c>
      <c r="G7" t="s">
        <v>13</v>
      </c>
      <c r="H7">
        <f>SQRT((B5-B7)*(B5-B7)+(C5-C7)*(C5-C7)+(D5/1000-D7/1000)*(D5/1000-D7/1000))*1000</f>
        <v>45.705579528068384</v>
      </c>
    </row>
    <row r="9" spans="1:8" x14ac:dyDescent="0.3">
      <c r="A9" s="10" t="s">
        <v>0</v>
      </c>
      <c r="B9" s="10">
        <v>720.21900000000005</v>
      </c>
      <c r="C9" s="10">
        <v>5033.7950000000001</v>
      </c>
      <c r="D9" s="10">
        <v>494</v>
      </c>
      <c r="E9" s="10" t="s">
        <v>8</v>
      </c>
      <c r="F9" s="10" t="s">
        <v>15</v>
      </c>
    </row>
    <row r="12" spans="1:8" x14ac:dyDescent="0.3">
      <c r="A12" t="s">
        <v>20</v>
      </c>
      <c r="B12" s="5">
        <v>872.36</v>
      </c>
      <c r="C12" s="5">
        <v>352.77</v>
      </c>
      <c r="D12">
        <v>495</v>
      </c>
      <c r="F12" t="s">
        <v>18</v>
      </c>
    </row>
    <row r="13" spans="1:8" x14ac:dyDescent="0.3">
      <c r="A13" t="s">
        <v>20</v>
      </c>
      <c r="B13">
        <v>720.38699999999994</v>
      </c>
      <c r="C13">
        <v>5033.5929999999998</v>
      </c>
      <c r="D13">
        <v>495</v>
      </c>
      <c r="F13" t="s">
        <v>19</v>
      </c>
      <c r="G13" t="s">
        <v>13</v>
      </c>
      <c r="H13">
        <f>SQRT((B3-B13)*(B3-B13)+(C3-C13)*(C3-C13)+(D3/1000-D13/1000)*(D3/1000-D13/1000))*1000</f>
        <v>218.41703230321735</v>
      </c>
    </row>
    <row r="16" spans="1:8" x14ac:dyDescent="0.3">
      <c r="A16" t="s">
        <v>0</v>
      </c>
      <c r="B16" s="5">
        <v>872.15</v>
      </c>
      <c r="C16" s="5">
        <v>352.78</v>
      </c>
      <c r="D16">
        <v>488</v>
      </c>
      <c r="F16" t="s">
        <v>16</v>
      </c>
    </row>
    <row r="17" spans="1:6" x14ac:dyDescent="0.3">
      <c r="A17" t="s">
        <v>0</v>
      </c>
      <c r="B17" s="5">
        <f>B16+0.00204*C16-0.106</f>
        <v>872.76367119999998</v>
      </c>
      <c r="C17" s="5">
        <f>C16-0.00204*B16+301.572</f>
        <v>652.57281399999999</v>
      </c>
      <c r="D17">
        <f>D16</f>
        <v>488</v>
      </c>
      <c r="F17" t="s">
        <v>17</v>
      </c>
    </row>
    <row r="21" spans="1:6" x14ac:dyDescent="0.3">
      <c r="B21">
        <v>879.971</v>
      </c>
      <c r="C21">
        <v>66.222999999999999</v>
      </c>
    </row>
    <row r="22" spans="1:6" x14ac:dyDescent="0.3">
      <c r="B22" s="5">
        <f>B21+0.00204*C21-0.106</f>
        <v>880.00009492000004</v>
      </c>
      <c r="C22" s="5">
        <f>C21-0.00204*B21+301.572</f>
        <v>365.99985916000003</v>
      </c>
    </row>
    <row r="25" spans="1:6" x14ac:dyDescent="0.3">
      <c r="A25" t="s">
        <v>21</v>
      </c>
      <c r="B25" s="5">
        <v>720.3</v>
      </c>
      <c r="C25">
        <v>5033.7860000000001</v>
      </c>
      <c r="D25">
        <v>482</v>
      </c>
      <c r="F25" t="s">
        <v>26</v>
      </c>
    </row>
    <row r="26" spans="1:6" x14ac:dyDescent="0.3">
      <c r="A26" t="s">
        <v>22</v>
      </c>
      <c r="B26">
        <v>720.26400000000001</v>
      </c>
      <c r="C26">
        <v>5033.7830000000004</v>
      </c>
      <c r="D26">
        <v>503</v>
      </c>
    </row>
    <row r="27" spans="1:6" x14ac:dyDescent="0.3">
      <c r="A27" t="s">
        <v>23</v>
      </c>
      <c r="B27" s="6">
        <f>(B25-B26)*1000</f>
        <v>35.999999999944521</v>
      </c>
      <c r="C27" s="6">
        <f t="shared" ref="C27" si="0">(C25-C26)*1000</f>
        <v>2.9999999997016857</v>
      </c>
      <c r="D27" s="6">
        <f>(D25-D26)</f>
        <v>-21</v>
      </c>
    </row>
    <row r="29" spans="1:6" x14ac:dyDescent="0.3">
      <c r="A29" t="s">
        <v>24</v>
      </c>
      <c r="B29" s="5">
        <v>720.28099999999995</v>
      </c>
      <c r="C29">
        <v>5033.808</v>
      </c>
      <c r="D29">
        <v>499</v>
      </c>
      <c r="F29" t="s">
        <v>26</v>
      </c>
    </row>
    <row r="30" spans="1:6" x14ac:dyDescent="0.3">
      <c r="A30" t="s">
        <v>25</v>
      </c>
      <c r="B30">
        <v>720.23800000000006</v>
      </c>
      <c r="C30">
        <v>5033.7879999999996</v>
      </c>
      <c r="D30">
        <v>509</v>
      </c>
    </row>
    <row r="31" spans="1:6" x14ac:dyDescent="0.3">
      <c r="A31" t="s">
        <v>23</v>
      </c>
      <c r="B31" s="6">
        <f>(B29-B30)*1000</f>
        <v>42.99999999989268</v>
      </c>
      <c r="C31" s="6">
        <f t="shared" ref="C31" si="1">(C29-C30)*1000</f>
        <v>20.000000000436557</v>
      </c>
      <c r="D31" s="6">
        <f>(D29-D30)</f>
        <v>-10</v>
      </c>
    </row>
    <row r="33" spans="1:6" x14ac:dyDescent="0.3">
      <c r="A33" t="s">
        <v>27</v>
      </c>
      <c r="B33" s="5">
        <v>720.255</v>
      </c>
      <c r="C33">
        <v>5033.7669999999998</v>
      </c>
      <c r="D33">
        <v>525</v>
      </c>
      <c r="F33" t="s">
        <v>26</v>
      </c>
    </row>
    <row r="34" spans="1:6" x14ac:dyDescent="0.3">
      <c r="A34" t="s">
        <v>28</v>
      </c>
      <c r="B34">
        <v>720.221</v>
      </c>
      <c r="C34">
        <v>5033.7879999999996</v>
      </c>
      <c r="D34">
        <v>533</v>
      </c>
    </row>
    <row r="35" spans="1:6" x14ac:dyDescent="0.3">
      <c r="A35" t="s">
        <v>23</v>
      </c>
      <c r="B35" s="6">
        <f>(B33-B34)*1000</f>
        <v>33.999999999991815</v>
      </c>
      <c r="C35" s="6">
        <f t="shared" ref="C35" si="2">(C33-C34)*1000</f>
        <v>-20.99999999973079</v>
      </c>
      <c r="D35" s="6">
        <f>(D33-D34)</f>
        <v>-8</v>
      </c>
    </row>
    <row r="37" spans="1:6" x14ac:dyDescent="0.3">
      <c r="A37" t="s">
        <v>30</v>
      </c>
      <c r="B37" s="6">
        <f>(B35+B31+B27)/3</f>
        <v>37.666666666609672</v>
      </c>
      <c r="C37" s="6">
        <f>(C35+C31+C27)/3</f>
        <v>0.66666666680248454</v>
      </c>
      <c r="D37" s="6">
        <f>(D35+D31+D27)/3</f>
        <v>-13</v>
      </c>
    </row>
    <row r="39" spans="1:6" x14ac:dyDescent="0.3">
      <c r="A39" s="15" t="s">
        <v>29</v>
      </c>
      <c r="B39" s="15"/>
      <c r="C39" s="15"/>
      <c r="D39" s="15"/>
      <c r="E39" s="15"/>
      <c r="F39" s="15"/>
    </row>
    <row r="40" spans="1:6" x14ac:dyDescent="0.3">
      <c r="A40" s="7" t="s">
        <v>0</v>
      </c>
      <c r="B40" s="8">
        <f>B9+B37/1000</f>
        <v>720.25666666666666</v>
      </c>
      <c r="C40" s="8">
        <f>C9+C37/1000</f>
        <v>5033.7956666666669</v>
      </c>
      <c r="D40" s="9">
        <f>D9+D37</f>
        <v>481</v>
      </c>
      <c r="E40" s="7" t="s">
        <v>8</v>
      </c>
      <c r="F40" s="7" t="s">
        <v>31</v>
      </c>
    </row>
    <row r="41" spans="1:6" x14ac:dyDescent="0.3">
      <c r="A41" s="11" t="s">
        <v>20</v>
      </c>
      <c r="B41" s="14">
        <v>720.30899999999997</v>
      </c>
      <c r="C41" s="14">
        <v>5033.777</v>
      </c>
      <c r="D41" s="12">
        <v>486</v>
      </c>
      <c r="E41" s="11" t="s">
        <v>33</v>
      </c>
      <c r="F41" s="7"/>
    </row>
    <row r="42" spans="1:6" x14ac:dyDescent="0.3">
      <c r="A42" s="11" t="s">
        <v>14</v>
      </c>
      <c r="B42" s="14">
        <v>720.28099999999995</v>
      </c>
      <c r="C42" s="14">
        <v>5033.7849999999999</v>
      </c>
      <c r="D42" s="12">
        <v>494</v>
      </c>
      <c r="E42" s="13" t="s">
        <v>9</v>
      </c>
      <c r="F42" s="7"/>
    </row>
    <row r="44" spans="1:6" x14ac:dyDescent="0.3">
      <c r="A44" s="11" t="s">
        <v>22</v>
      </c>
      <c r="B44" s="11">
        <v>720.30200000000002</v>
      </c>
      <c r="C44" s="11">
        <v>5033.7839999999997</v>
      </c>
      <c r="D44" s="11">
        <v>490</v>
      </c>
    </row>
    <row r="45" spans="1:6" x14ac:dyDescent="0.3">
      <c r="A45" s="11" t="s">
        <v>23</v>
      </c>
      <c r="B45" s="12">
        <f>(B25-B44)*1000</f>
        <v>-2.0000000000663931</v>
      </c>
      <c r="C45" s="12">
        <f>(C25-C44)*1000</f>
        <v>2.0000000004074536</v>
      </c>
      <c r="D45" s="12">
        <f>(D25-D44)</f>
        <v>-8</v>
      </c>
    </row>
    <row r="46" spans="1:6" x14ac:dyDescent="0.3">
      <c r="A46" s="11"/>
      <c r="B46" s="11"/>
      <c r="C46" s="11"/>
      <c r="D46" s="11"/>
    </row>
    <row r="47" spans="1:6" x14ac:dyDescent="0.3">
      <c r="A47" s="11" t="s">
        <v>25</v>
      </c>
      <c r="B47" s="11">
        <v>720.27599999999995</v>
      </c>
      <c r="C47" s="11">
        <v>5033.7889999999998</v>
      </c>
      <c r="D47" s="11">
        <v>496</v>
      </c>
    </row>
    <row r="48" spans="1:6" x14ac:dyDescent="0.3">
      <c r="A48" s="11" t="s">
        <v>23</v>
      </c>
      <c r="B48" s="12">
        <f>(B29-B47)*1000</f>
        <v>4.9999999999954525</v>
      </c>
      <c r="C48" s="12">
        <f>(C29-C47)*1000</f>
        <v>19.000000000232831</v>
      </c>
      <c r="D48" s="12">
        <f>(D29-D47)</f>
        <v>3</v>
      </c>
    </row>
    <row r="49" spans="1:8" x14ac:dyDescent="0.3">
      <c r="A49" s="11"/>
      <c r="B49" s="11"/>
      <c r="C49" s="11"/>
      <c r="D49" s="11"/>
    </row>
    <row r="50" spans="1:8" x14ac:dyDescent="0.3">
      <c r="A50" s="11" t="s">
        <v>28</v>
      </c>
      <c r="B50" s="11">
        <v>720.25900000000001</v>
      </c>
      <c r="C50" s="11">
        <v>5033.7889999999998</v>
      </c>
      <c r="D50" s="11">
        <v>520</v>
      </c>
    </row>
    <row r="51" spans="1:8" x14ac:dyDescent="0.3">
      <c r="A51" s="11" t="s">
        <v>23</v>
      </c>
      <c r="B51" s="12">
        <f>(B33-B50)*1000</f>
        <v>-4.0000000000190994</v>
      </c>
      <c r="C51" s="12">
        <f>(C33-C50)*1000</f>
        <v>-21.999999999934516</v>
      </c>
      <c r="D51" s="12">
        <f>(D33-D50)</f>
        <v>5</v>
      </c>
    </row>
    <row r="52" spans="1:8" x14ac:dyDescent="0.3">
      <c r="A52" s="11"/>
      <c r="B52" s="11"/>
      <c r="C52" s="11"/>
      <c r="D52" s="11"/>
    </row>
    <row r="53" spans="1:8" x14ac:dyDescent="0.3">
      <c r="A53" s="11" t="s">
        <v>32</v>
      </c>
      <c r="B53" s="12">
        <f>(B51+B48+B45)/3</f>
        <v>-0.33333333336334664</v>
      </c>
      <c r="C53" s="12">
        <f>(C51+C48+C45)/3</f>
        <v>-0.33333333309807739</v>
      </c>
      <c r="D53" s="12">
        <f>(D51+D48+D45)/3</f>
        <v>0</v>
      </c>
    </row>
    <row r="55" spans="1:8" x14ac:dyDescent="0.3">
      <c r="A55" t="s">
        <v>0</v>
      </c>
      <c r="B55">
        <v>720.17700000000002</v>
      </c>
      <c r="C55">
        <v>5033.8119999999999</v>
      </c>
      <c r="D55">
        <v>488</v>
      </c>
      <c r="E55" t="s">
        <v>8</v>
      </c>
      <c r="F55" t="s">
        <v>1</v>
      </c>
      <c r="G55" t="s">
        <v>13</v>
      </c>
      <c r="H55">
        <f>SQRT((B40-B55)*(B40-B55)+(C40-C55)*(C40-C55)+(D40/1000-D55/1000)*(D40/1000-D55/1000))*1000</f>
        <v>81.624478899047901</v>
      </c>
    </row>
  </sheetData>
  <mergeCells count="1">
    <mergeCell ref="A39:F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 Bel</dc:creator>
  <cp:lastModifiedBy>A. PONT</cp:lastModifiedBy>
  <dcterms:created xsi:type="dcterms:W3CDTF">2015-06-05T18:19:34Z</dcterms:created>
  <dcterms:modified xsi:type="dcterms:W3CDTF">2022-09-06T07:20:48Z</dcterms:modified>
</cp:coreProperties>
</file>