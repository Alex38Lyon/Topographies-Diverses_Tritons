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alexa\Desktop\Grotte du Prayet 2023_03_07\"/>
    </mc:Choice>
  </mc:AlternateContent>
  <xr:revisionPtr revIDLastSave="0" documentId="13_ncr:1_{13CE3C57-DA03-4649-ADD8-50FCADD15162}" xr6:coauthVersionLast="47" xr6:coauthVersionMax="47" xr10:uidLastSave="{00000000-0000-0000-0000-000000000000}"/>
  <bookViews>
    <workbookView xWindow="-107" yWindow="-107" windowWidth="20847" windowHeight="11820" tabRatio="309" activeTab="1" xr2:uid="{00000000-000D-0000-FFFF-FFFF00000000}"/>
  </bookViews>
  <sheets>
    <sheet name="Feuil1" sheetId="1" r:id="rId1"/>
    <sheet name="Feuil3" sheetId="3" r:id="rId2"/>
    <sheet name="Feuil6" sheetId="6" r:id="rId3"/>
  </sheets>
  <definedNames>
    <definedName name="_xlnm._FilterDatabase" localSheetId="1" hidden="1">Feuil3!$A$5:$N$55</definedName>
    <definedName name="Grotte_du_Prayet_1" localSheetId="1">Feuil3!$A$6:$N$15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 a="1"/>
  <c r="E3" i="3" s="1"/>
  <c r="D3" i="3" a="1"/>
  <c r="D3" i="3" s="1"/>
  <c r="C3" i="3" a="1"/>
  <c r="C3" i="3" s="1"/>
  <c r="E2" i="3" a="1"/>
  <c r="E2" i="3" s="1"/>
  <c r="D2" i="3" a="1"/>
  <c r="D2" i="3" s="1"/>
  <c r="C2" i="3" a="1"/>
  <c r="C2" i="3" s="1"/>
  <c r="E1" i="3"/>
  <c r="D1" i="3"/>
  <c r="C1" i="3"/>
  <c r="E4" i="3" l="1"/>
  <c r="D4" i="3"/>
  <c r="C4" i="3"/>
  <c r="A3" i="6"/>
  <c r="H6" i="1"/>
  <c r="G6" i="1"/>
  <c r="G5" i="1"/>
  <c r="H5" i="1"/>
  <c r="H3" i="1"/>
  <c r="H4" i="1"/>
  <c r="H2" i="1"/>
  <c r="G4" i="1"/>
  <c r="G3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9042F0-AB30-4C62-8F6F-4750C2B0DFF5}" name="Grotte_du_Prayet_1" type="6" refreshedVersion="8" background="1" saveData="1">
    <textPr firstRow="12" sourceFile="C:\Users\alexa\Desktop\Grotte du Prayet 2023_03_07\Grotte_du_Prayet_1.tro" decimal="," thousands=" " tab="0" space="1" consecutive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<sst xmlns="http://schemas.openxmlformats.org/spreadsheetml/2006/main" count="406" uniqueCount="53">
  <si>
    <t>Grotte_du_Prayet_1</t>
  </si>
  <si>
    <t xml:space="preserve">DistoX Alex </t>
  </si>
  <si>
    <t>Calibration 2023 03 06</t>
  </si>
  <si>
    <t>X</t>
  </si>
  <si>
    <t>Y</t>
  </si>
  <si>
    <t>Z</t>
  </si>
  <si>
    <t>Erreur</t>
  </si>
  <si>
    <t>Longueur</t>
  </si>
  <si>
    <t>Prof.</t>
  </si>
  <si>
    <t>eTopo 016</t>
  </si>
  <si>
    <t>Calibré Algo distoX</t>
  </si>
  <si>
    <t>Grotte_du_Prayet_2</t>
  </si>
  <si>
    <t xml:space="preserve"> -5/+4</t>
  </si>
  <si>
    <t xml:space="preserve"> -5/+5</t>
  </si>
  <si>
    <t>Grotte_du_Prayet_3</t>
  </si>
  <si>
    <t>Grotte_du_Prayet_4</t>
  </si>
  <si>
    <t>Grotte_du_Prayet_5</t>
  </si>
  <si>
    <t>eTopo 011</t>
  </si>
  <si>
    <t>Err %</t>
  </si>
  <si>
    <t>Calibré Algo Cavatron</t>
  </si>
  <si>
    <t>eTopo 015</t>
  </si>
  <si>
    <t>Proto Houdeau</t>
  </si>
  <si>
    <t xml:space="preserve"> -4/+6</t>
  </si>
  <si>
    <t>N</t>
  </si>
  <si>
    <t>I</t>
  </si>
  <si>
    <t>*</t>
  </si>
  <si>
    <t>ENT1</t>
  </si>
  <si>
    <t>ENT2</t>
  </si>
  <si>
    <t>ENT3</t>
  </si>
  <si>
    <t>ENT4</t>
  </si>
  <si>
    <t>ENT5</t>
  </si>
  <si>
    <t>ENT6</t>
  </si>
  <si>
    <t>ENT7</t>
  </si>
  <si>
    <t>ENT8</t>
  </si>
  <si>
    <t>ENT9</t>
  </si>
  <si>
    <t>ENT10</t>
  </si>
  <si>
    <t>ENT0</t>
  </si>
  <si>
    <t>distoX Alex</t>
  </si>
  <si>
    <t>Arrivée</t>
  </si>
  <si>
    <t>Lg.</t>
  </si>
  <si>
    <t>Az.</t>
  </si>
  <si>
    <t>Pe.</t>
  </si>
  <si>
    <t>G.</t>
  </si>
  <si>
    <t>D.</t>
  </si>
  <si>
    <t>H.</t>
  </si>
  <si>
    <t>B.</t>
  </si>
  <si>
    <t>App</t>
  </si>
  <si>
    <t>Départ</t>
  </si>
  <si>
    <t>Moy.</t>
  </si>
  <si>
    <t>Max.</t>
  </si>
  <si>
    <t>Min.</t>
  </si>
  <si>
    <t>Ecart</t>
  </si>
  <si>
    <t>Erreur Az importante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</si>
</sst>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10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/>
    <xf numFmtId="0" fontId="0" fillId="5" borderId="0" xfId="0" applyFill="1"/>
    <xf numFmtId="0" fontId="0" fillId="6" borderId="0" xfId="0" applyFill="1"/>
    <xf numFmtId="0" fontId="2" fillId="4" borderId="0" xfId="0" applyFont="1" applyFill="1" applyAlignment="1">
      <alignment horizontal="center"/>
    </xf>
    <xf numFmtId="0" fontId="0" fillId="7" borderId="0" xfId="0" applyFill="1"/>
    <xf numFmtId="0" fontId="0" fillId="8" borderId="0" xfId="0" applyFill="1"/>
    <xf numFmtId="164" fontId="0" fillId="0" borderId="0" xfId="0" applyNumberFormat="1"/>
    <xf numFmtId="0" fontId="3" fillId="7" borderId="0" xfId="0" applyFont="1" applyFill="1"/>
    <xf numFmtId="0" fontId="3" fillId="5" borderId="0" xfId="0" applyFont="1" applyFill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rotte_du_Prayet_1" connectionId="1" xr16:uid="{95169DEE-4A11-4299-BF92-56171CB65F5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activeCell="C11" sqref="C11"/>
    </sheetView>
  </sheetViews>
  <sheetFormatPr baseColWidth="10" defaultColWidth="8.796875" defaultRowHeight="14" x14ac:dyDescent="0.3"/>
  <cols>
    <col min="1" max="1" width="20.296875" customWidth="1"/>
    <col min="2" max="2" width="17.296875" customWidth="1"/>
    <col min="3" max="3" width="21.5" customWidth="1"/>
    <col min="6" max="6" width="10.796875" customWidth="1"/>
    <col min="7" max="8" width="10.3984375" customWidth="1"/>
    <col min="9" max="9" width="10" customWidth="1"/>
  </cols>
  <sheetData>
    <row r="1" spans="1:10" x14ac:dyDescent="0.3">
      <c r="D1" s="3" t="s">
        <v>3</v>
      </c>
      <c r="E1" s="3" t="s">
        <v>4</v>
      </c>
      <c r="F1" s="3" t="s">
        <v>5</v>
      </c>
      <c r="G1" s="3" t="s">
        <v>6</v>
      </c>
      <c r="H1" s="3" t="s">
        <v>18</v>
      </c>
      <c r="I1" s="3" t="s">
        <v>7</v>
      </c>
      <c r="J1" s="3" t="s">
        <v>8</v>
      </c>
    </row>
    <row r="2" spans="1:10" x14ac:dyDescent="0.3">
      <c r="A2" t="s">
        <v>0</v>
      </c>
      <c r="B2" t="s">
        <v>1</v>
      </c>
      <c r="C2" t="s">
        <v>2</v>
      </c>
      <c r="D2">
        <v>1.1299999999999999</v>
      </c>
      <c r="E2">
        <v>-0.77</v>
      </c>
      <c r="F2">
        <v>0.28000000000000003</v>
      </c>
      <c r="G2" s="1">
        <f>SQRT(D2*D2+E2*E2+F2*F2)</f>
        <v>1.3957793521900228</v>
      </c>
      <c r="H2" s="2">
        <f>G2/I2</f>
        <v>1.5508659468778031E-2</v>
      </c>
      <c r="I2">
        <v>90</v>
      </c>
      <c r="J2" t="s">
        <v>13</v>
      </c>
    </row>
    <row r="3" spans="1:10" x14ac:dyDescent="0.3">
      <c r="A3" t="s">
        <v>11</v>
      </c>
      <c r="B3" t="s">
        <v>9</v>
      </c>
      <c r="C3" t="s">
        <v>10</v>
      </c>
      <c r="D3">
        <v>9</v>
      </c>
      <c r="E3">
        <v>1.79</v>
      </c>
      <c r="F3">
        <v>-0.39</v>
      </c>
      <c r="G3" s="1">
        <f>SQRT(D3*D3+E3*E3+F3*F3)</f>
        <v>9.1845631360451758</v>
      </c>
      <c r="H3" s="2">
        <f t="shared" ref="H3:H6" si="0">G3/I3</f>
        <v>0.10319733860724917</v>
      </c>
      <c r="I3">
        <v>89</v>
      </c>
      <c r="J3" t="s">
        <v>12</v>
      </c>
    </row>
    <row r="4" spans="1:10" x14ac:dyDescent="0.3">
      <c r="A4" t="s">
        <v>14</v>
      </c>
      <c r="B4" t="s">
        <v>17</v>
      </c>
      <c r="C4" t="s">
        <v>10</v>
      </c>
      <c r="D4">
        <v>3.76</v>
      </c>
      <c r="E4">
        <v>2.2999999999999998</v>
      </c>
      <c r="F4">
        <v>0.1</v>
      </c>
      <c r="G4" s="1">
        <f>SQRT(D4*D4+E4*E4+F4*F4)</f>
        <v>4.4088093630820557</v>
      </c>
      <c r="H4" s="2">
        <f t="shared" si="0"/>
        <v>4.898677070091173E-2</v>
      </c>
      <c r="I4">
        <v>90</v>
      </c>
      <c r="J4" t="s">
        <v>13</v>
      </c>
    </row>
    <row r="5" spans="1:10" x14ac:dyDescent="0.3">
      <c r="A5" t="s">
        <v>15</v>
      </c>
      <c r="B5" t="s">
        <v>20</v>
      </c>
      <c r="C5" t="s">
        <v>19</v>
      </c>
      <c r="D5">
        <v>-4.72</v>
      </c>
      <c r="E5">
        <v>-8.7799999999999994</v>
      </c>
      <c r="F5">
        <v>7.0000000000000007E-2</v>
      </c>
      <c r="G5" s="1">
        <f>SQRT(D5*D5+E5*E5+F5*F5)</f>
        <v>9.9685354992596569</v>
      </c>
      <c r="H5" s="2">
        <f t="shared" si="0"/>
        <v>0.11200601684561412</v>
      </c>
      <c r="I5">
        <v>89</v>
      </c>
      <c r="J5" t="s">
        <v>13</v>
      </c>
    </row>
    <row r="6" spans="1:10" x14ac:dyDescent="0.3">
      <c r="A6" t="s">
        <v>16</v>
      </c>
      <c r="B6" t="s">
        <v>21</v>
      </c>
      <c r="D6">
        <v>0.9</v>
      </c>
      <c r="E6">
        <v>-1.36</v>
      </c>
      <c r="F6">
        <v>-0.55000000000000004</v>
      </c>
      <c r="G6" s="1">
        <f>SQRT(D6*D6+E6*E6+F6*F6)</f>
        <v>1.7210752453045162</v>
      </c>
      <c r="H6" s="2">
        <f t="shared" si="0"/>
        <v>1.9123058281161291E-2</v>
      </c>
      <c r="I6">
        <v>90</v>
      </c>
      <c r="J6" t="s">
        <v>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1CAE5-E541-4160-AB5F-74E523AFE0D4}">
  <dimension ref="A1:O55"/>
  <sheetViews>
    <sheetView tabSelected="1" workbookViewId="0">
      <selection activeCell="O9" sqref="O9"/>
    </sheetView>
  </sheetViews>
  <sheetFormatPr baseColWidth="10" defaultRowHeight="14" x14ac:dyDescent="0.3"/>
  <cols>
    <col min="1" max="1" width="8.8984375" bestFit="1" customWidth="1"/>
    <col min="2" max="2" width="11.5" bestFit="1" customWidth="1"/>
    <col min="3" max="3" width="10.796875" customWidth="1"/>
    <col min="4" max="4" width="9.09765625" customWidth="1"/>
    <col min="5" max="5" width="9.296875" customWidth="1"/>
    <col min="6" max="6" width="10.296875" customWidth="1"/>
    <col min="7" max="7" width="8" customWidth="1"/>
    <col min="8" max="8" width="7.296875" customWidth="1"/>
    <col min="9" max="9" width="7.59765625" customWidth="1"/>
    <col min="10" max="10" width="3.09765625" customWidth="1"/>
    <col min="11" max="11" width="3" customWidth="1"/>
    <col min="12" max="12" width="3.5" customWidth="1"/>
    <col min="13" max="13" width="3.296875" customWidth="1"/>
    <col min="14" max="14" width="13.59765625" bestFit="1" customWidth="1"/>
    <col min="15" max="15" width="18.69921875" bestFit="1" customWidth="1"/>
  </cols>
  <sheetData>
    <row r="1" spans="1:15" x14ac:dyDescent="0.3">
      <c r="A1" t="s">
        <v>35</v>
      </c>
      <c r="B1" t="s">
        <v>48</v>
      </c>
      <c r="C1" s="10">
        <f ca="1">SUMIF(B6:N55,$A$1,C6:C55) / COUNTIFS(B6:N55,$A$1)</f>
        <v>8.2960000000000012</v>
      </c>
      <c r="D1" s="10">
        <f ca="1">SUMIF(B6:N55,$A$1,D6:D55) / COUNTIFS(B6:N55,$A$1)</f>
        <v>289.48</v>
      </c>
      <c r="E1" s="10">
        <f ca="1">SUMIF(B6:N55,$A$1,E6:E55) / COUNTIFS(B6:N55,$A$1)</f>
        <v>-23.6</v>
      </c>
    </row>
    <row r="2" spans="1:15" x14ac:dyDescent="0.3">
      <c r="B2" t="s">
        <v>49</v>
      </c>
      <c r="C2" s="10">
        <f t="array" ref="C2">MAX(IF(B6:N55=$A$1,C6:C55))</f>
        <v>8.3800000000000008</v>
      </c>
      <c r="D2" s="10">
        <f t="array" ref="D2">MAX(IF(B6:N55=$A$1,D6:D55))</f>
        <v>301.60000000000002</v>
      </c>
      <c r="E2" s="10">
        <f t="array" ref="E2">MAX(IF(B6:N55=$A$1,E6:E55))</f>
        <v>-23.2</v>
      </c>
    </row>
    <row r="3" spans="1:15" x14ac:dyDescent="0.3">
      <c r="B3" t="s">
        <v>50</v>
      </c>
      <c r="C3" s="10">
        <f t="array" ref="C3">MIN(IF(B6:N55=$A$1,C6:C55))</f>
        <v>8.2200000000000006</v>
      </c>
      <c r="D3" s="10">
        <f t="array" ref="D3">MIN(IF(B6:N55=$A$1,D6:D55))</f>
        <v>268</v>
      </c>
      <c r="E3" s="10">
        <f t="array" ref="E3">MIN(IF(B6:N55=$A$1,E6:E55))</f>
        <v>-24</v>
      </c>
    </row>
    <row r="4" spans="1:15" x14ac:dyDescent="0.3">
      <c r="B4" t="s">
        <v>51</v>
      </c>
      <c r="C4" s="10">
        <f>C2-C3</f>
        <v>0.16000000000000014</v>
      </c>
      <c r="D4" s="10">
        <f>D2-D3</f>
        <v>33.600000000000023</v>
      </c>
      <c r="E4" s="10">
        <f>E2-E3</f>
        <v>0.80000000000000071</v>
      </c>
    </row>
    <row r="5" spans="1:15" x14ac:dyDescent="0.3">
      <c r="A5" s="7" t="s">
        <v>47</v>
      </c>
      <c r="B5" s="7" t="s">
        <v>38</v>
      </c>
      <c r="C5" s="7" t="s">
        <v>39</v>
      </c>
      <c r="D5" s="7" t="s">
        <v>40</v>
      </c>
      <c r="E5" s="7" t="s">
        <v>41</v>
      </c>
      <c r="F5" s="7" t="s">
        <v>42</v>
      </c>
      <c r="G5" s="7" t="s">
        <v>43</v>
      </c>
      <c r="H5" s="7" t="s">
        <v>44</v>
      </c>
      <c r="I5" s="7" t="s">
        <v>45</v>
      </c>
      <c r="J5" s="7"/>
      <c r="K5" s="7"/>
      <c r="L5" s="7"/>
      <c r="M5" s="7"/>
      <c r="N5" s="7" t="s">
        <v>46</v>
      </c>
      <c r="O5" s="7"/>
    </row>
    <row r="6" spans="1:15" x14ac:dyDescent="0.3">
      <c r="A6" s="4" t="s">
        <v>36</v>
      </c>
      <c r="B6" s="4" t="s">
        <v>26</v>
      </c>
      <c r="C6" s="4">
        <v>12.52</v>
      </c>
      <c r="D6" s="4">
        <v>39.5</v>
      </c>
      <c r="E6" s="4">
        <v>-1.1000000000000001</v>
      </c>
      <c r="F6" s="4">
        <v>2.06</v>
      </c>
      <c r="G6" s="4">
        <v>16.399999999999999</v>
      </c>
      <c r="H6" s="4">
        <v>7.23</v>
      </c>
      <c r="I6" s="4">
        <v>2.31</v>
      </c>
      <c r="J6" s="4" t="s">
        <v>23</v>
      </c>
      <c r="K6" s="4" t="s">
        <v>24</v>
      </c>
      <c r="L6" s="4" t="s">
        <v>25</v>
      </c>
      <c r="M6" s="4" t="s">
        <v>23</v>
      </c>
      <c r="N6" s="4" t="s">
        <v>37</v>
      </c>
      <c r="O6" s="4"/>
    </row>
    <row r="7" spans="1:15" x14ac:dyDescent="0.3">
      <c r="A7" s="4" t="s">
        <v>26</v>
      </c>
      <c r="B7" s="4" t="s">
        <v>27</v>
      </c>
      <c r="C7" s="4">
        <v>6.74</v>
      </c>
      <c r="D7" s="4">
        <v>41</v>
      </c>
      <c r="E7" s="4">
        <v>-2.5</v>
      </c>
      <c r="F7" s="4">
        <v>2.04</v>
      </c>
      <c r="G7" s="4">
        <v>16.03</v>
      </c>
      <c r="H7" s="4">
        <v>4.0599999999999996</v>
      </c>
      <c r="I7" s="4">
        <v>1.97</v>
      </c>
      <c r="J7" s="4" t="s">
        <v>23</v>
      </c>
      <c r="K7" s="4" t="s">
        <v>24</v>
      </c>
      <c r="L7" s="4" t="s">
        <v>25</v>
      </c>
      <c r="M7" s="4" t="s">
        <v>23</v>
      </c>
      <c r="N7" s="4" t="s">
        <v>37</v>
      </c>
      <c r="O7" s="4"/>
    </row>
    <row r="8" spans="1:15" x14ac:dyDescent="0.3">
      <c r="A8" s="4" t="s">
        <v>27</v>
      </c>
      <c r="B8" s="4" t="s">
        <v>28</v>
      </c>
      <c r="C8" s="4">
        <v>9.26</v>
      </c>
      <c r="D8" s="4">
        <v>64.2</v>
      </c>
      <c r="E8" s="4">
        <v>-27.3</v>
      </c>
      <c r="F8" s="4">
        <v>2.64</v>
      </c>
      <c r="G8" s="4">
        <v>8.01</v>
      </c>
      <c r="H8" s="4">
        <v>2.58</v>
      </c>
      <c r="I8" s="4">
        <v>0.6</v>
      </c>
      <c r="J8" s="4" t="s">
        <v>23</v>
      </c>
      <c r="K8" s="4" t="s">
        <v>24</v>
      </c>
      <c r="L8" s="4" t="s">
        <v>25</v>
      </c>
      <c r="M8" s="4" t="s">
        <v>23</v>
      </c>
      <c r="N8" s="4" t="s">
        <v>37</v>
      </c>
      <c r="O8" s="4"/>
    </row>
    <row r="9" spans="1:15" x14ac:dyDescent="0.3">
      <c r="A9" s="4" t="s">
        <v>28</v>
      </c>
      <c r="B9" s="4" t="s">
        <v>29</v>
      </c>
      <c r="C9" s="4">
        <v>7.33</v>
      </c>
      <c r="D9" s="4">
        <v>67.5</v>
      </c>
      <c r="E9" s="4">
        <v>-0.1</v>
      </c>
      <c r="F9" s="4">
        <v>1.35</v>
      </c>
      <c r="G9" s="4">
        <v>7.57</v>
      </c>
      <c r="H9" s="4">
        <v>0.92</v>
      </c>
      <c r="I9" s="4">
        <v>1.1200000000000001</v>
      </c>
      <c r="J9" s="4" t="s">
        <v>23</v>
      </c>
      <c r="K9" s="4" t="s">
        <v>24</v>
      </c>
      <c r="L9" s="4" t="s">
        <v>25</v>
      </c>
      <c r="M9" s="4" t="s">
        <v>23</v>
      </c>
      <c r="N9" s="4" t="s">
        <v>37</v>
      </c>
      <c r="O9" s="4"/>
    </row>
    <row r="10" spans="1:15" x14ac:dyDescent="0.3">
      <c r="A10" s="4" t="s">
        <v>29</v>
      </c>
      <c r="B10" s="4" t="s">
        <v>30</v>
      </c>
      <c r="C10" s="4">
        <v>5.35</v>
      </c>
      <c r="D10" s="4">
        <v>160.4</v>
      </c>
      <c r="E10" s="4">
        <v>0</v>
      </c>
      <c r="F10" s="4">
        <v>0.47</v>
      </c>
      <c r="G10" s="4">
        <v>4.43</v>
      </c>
      <c r="H10" s="4">
        <v>2.5499999999999998</v>
      </c>
      <c r="I10" s="4">
        <v>0.27</v>
      </c>
      <c r="J10" s="4" t="s">
        <v>23</v>
      </c>
      <c r="K10" s="4" t="s">
        <v>24</v>
      </c>
      <c r="L10" s="4" t="s">
        <v>25</v>
      </c>
      <c r="M10" s="4" t="s">
        <v>23</v>
      </c>
      <c r="N10" s="4" t="s">
        <v>37</v>
      </c>
      <c r="O10" s="4"/>
    </row>
    <row r="11" spans="1:15" x14ac:dyDescent="0.3">
      <c r="A11" s="4" t="s">
        <v>30</v>
      </c>
      <c r="B11" s="4" t="s">
        <v>31</v>
      </c>
      <c r="C11" s="4">
        <v>11.26</v>
      </c>
      <c r="D11" s="4">
        <v>222.1</v>
      </c>
      <c r="E11" s="4">
        <v>17.3</v>
      </c>
      <c r="F11" s="4">
        <v>3.6</v>
      </c>
      <c r="G11" s="4">
        <v>11.6</v>
      </c>
      <c r="H11" s="4">
        <v>8.27</v>
      </c>
      <c r="I11" s="4">
        <v>0.71</v>
      </c>
      <c r="J11" s="4" t="s">
        <v>23</v>
      </c>
      <c r="K11" s="4" t="s">
        <v>24</v>
      </c>
      <c r="L11" s="4" t="s">
        <v>25</v>
      </c>
      <c r="M11" s="4" t="s">
        <v>23</v>
      </c>
      <c r="N11" s="4" t="s">
        <v>37</v>
      </c>
      <c r="O11" s="4"/>
    </row>
    <row r="12" spans="1:15" x14ac:dyDescent="0.3">
      <c r="A12" s="4" t="s">
        <v>31</v>
      </c>
      <c r="B12" s="4" t="s">
        <v>32</v>
      </c>
      <c r="C12" s="4">
        <v>8.48</v>
      </c>
      <c r="D12" s="4">
        <v>164.7</v>
      </c>
      <c r="E12" s="4">
        <v>34.9</v>
      </c>
      <c r="F12" s="4">
        <v>0.15</v>
      </c>
      <c r="G12" s="4">
        <v>15.27</v>
      </c>
      <c r="H12" s="4">
        <v>0.8</v>
      </c>
      <c r="I12" s="4">
        <v>1.58</v>
      </c>
      <c r="J12" s="4" t="s">
        <v>23</v>
      </c>
      <c r="K12" s="4" t="s">
        <v>24</v>
      </c>
      <c r="L12" s="4" t="s">
        <v>25</v>
      </c>
      <c r="M12" s="4" t="s">
        <v>23</v>
      </c>
      <c r="N12" s="4" t="s">
        <v>37</v>
      </c>
      <c r="O12" s="4"/>
    </row>
    <row r="13" spans="1:15" x14ac:dyDescent="0.3">
      <c r="A13" s="4" t="s">
        <v>32</v>
      </c>
      <c r="B13" s="4" t="s">
        <v>33</v>
      </c>
      <c r="C13" s="4">
        <v>12.58</v>
      </c>
      <c r="D13" s="4">
        <v>222.4</v>
      </c>
      <c r="E13" s="4">
        <v>6.6</v>
      </c>
      <c r="F13" s="4">
        <v>2.2599999999999998</v>
      </c>
      <c r="G13" s="4">
        <v>2.96</v>
      </c>
      <c r="H13" s="4">
        <v>0.88</v>
      </c>
      <c r="I13" s="4">
        <v>1.21</v>
      </c>
      <c r="J13" s="4" t="s">
        <v>23</v>
      </c>
      <c r="K13" s="4" t="s">
        <v>24</v>
      </c>
      <c r="L13" s="4" t="s">
        <v>25</v>
      </c>
      <c r="M13" s="4" t="s">
        <v>23</v>
      </c>
      <c r="N13" s="4" t="s">
        <v>37</v>
      </c>
      <c r="O13" s="4"/>
    </row>
    <row r="14" spans="1:15" x14ac:dyDescent="0.3">
      <c r="A14" s="4" t="s">
        <v>33</v>
      </c>
      <c r="B14" s="4" t="s">
        <v>34</v>
      </c>
      <c r="C14" s="4">
        <v>7.74</v>
      </c>
      <c r="D14" s="4">
        <v>305.10000000000002</v>
      </c>
      <c r="E14" s="4">
        <v>-9.5</v>
      </c>
      <c r="F14" s="4">
        <v>3.67</v>
      </c>
      <c r="G14" s="4">
        <v>11.46</v>
      </c>
      <c r="H14" s="4">
        <v>3.81</v>
      </c>
      <c r="I14" s="4">
        <v>1.08</v>
      </c>
      <c r="J14" s="4" t="s">
        <v>23</v>
      </c>
      <c r="K14" s="4" t="s">
        <v>24</v>
      </c>
      <c r="L14" s="4" t="s">
        <v>25</v>
      </c>
      <c r="M14" s="4" t="s">
        <v>23</v>
      </c>
      <c r="N14" s="4" t="s">
        <v>37</v>
      </c>
      <c r="O14" s="4"/>
    </row>
    <row r="15" spans="1:15" x14ac:dyDescent="0.3">
      <c r="A15" s="4" t="s">
        <v>34</v>
      </c>
      <c r="B15" s="4" t="s">
        <v>35</v>
      </c>
      <c r="C15" s="4">
        <v>8.34</v>
      </c>
      <c r="D15" s="4">
        <v>290.39999999999998</v>
      </c>
      <c r="E15" s="4">
        <v>-23.3</v>
      </c>
      <c r="F15" s="4">
        <v>0</v>
      </c>
      <c r="G15" s="4">
        <v>0</v>
      </c>
      <c r="H15" s="4">
        <v>0</v>
      </c>
      <c r="I15" s="4">
        <v>0</v>
      </c>
      <c r="J15" s="4" t="s">
        <v>23</v>
      </c>
      <c r="K15" s="4" t="s">
        <v>24</v>
      </c>
      <c r="L15" s="4" t="s">
        <v>25</v>
      </c>
      <c r="M15" s="4" t="s">
        <v>23</v>
      </c>
      <c r="N15" s="4" t="s">
        <v>37</v>
      </c>
      <c r="O15" s="4"/>
    </row>
    <row r="16" spans="1:15" x14ac:dyDescent="0.3">
      <c r="A16" s="5" t="s">
        <v>36</v>
      </c>
      <c r="B16" s="5" t="s">
        <v>26</v>
      </c>
      <c r="C16" s="5">
        <v>12.43</v>
      </c>
      <c r="D16" s="5">
        <v>40.299999999999997</v>
      </c>
      <c r="E16" s="5">
        <v>-1.5</v>
      </c>
      <c r="F16" s="5">
        <v>1.73</v>
      </c>
      <c r="G16" s="5">
        <v>16.54</v>
      </c>
      <c r="H16" s="5">
        <v>6.11</v>
      </c>
      <c r="I16" s="5">
        <v>2.19</v>
      </c>
      <c r="J16" s="5" t="s">
        <v>23</v>
      </c>
      <c r="K16" s="5" t="s">
        <v>24</v>
      </c>
      <c r="L16" s="5" t="s">
        <v>25</v>
      </c>
      <c r="M16" s="5" t="s">
        <v>23</v>
      </c>
      <c r="N16" s="5" t="s">
        <v>9</v>
      </c>
      <c r="O16" s="5"/>
    </row>
    <row r="17" spans="1:15" x14ac:dyDescent="0.3">
      <c r="A17" s="5" t="s">
        <v>26</v>
      </c>
      <c r="B17" s="5" t="s">
        <v>27</v>
      </c>
      <c r="C17" s="5">
        <v>6.68</v>
      </c>
      <c r="D17" s="5">
        <v>42.8</v>
      </c>
      <c r="E17" s="5">
        <v>-2.8</v>
      </c>
      <c r="F17" s="5">
        <v>1.72</v>
      </c>
      <c r="G17" s="5">
        <v>15.53</v>
      </c>
      <c r="H17" s="5">
        <v>4.0999999999999996</v>
      </c>
      <c r="I17" s="5">
        <v>2.1</v>
      </c>
      <c r="J17" s="5" t="s">
        <v>23</v>
      </c>
      <c r="K17" s="5" t="s">
        <v>24</v>
      </c>
      <c r="L17" s="5" t="s">
        <v>25</v>
      </c>
      <c r="M17" s="5" t="s">
        <v>23</v>
      </c>
      <c r="N17" s="5" t="s">
        <v>9</v>
      </c>
      <c r="O17" s="5"/>
    </row>
    <row r="18" spans="1:15" x14ac:dyDescent="0.3">
      <c r="A18" s="5" t="s">
        <v>27</v>
      </c>
      <c r="B18" s="5" t="s">
        <v>28</v>
      </c>
      <c r="C18" s="5">
        <v>9.17</v>
      </c>
      <c r="D18" s="5">
        <v>65.099999999999994</v>
      </c>
      <c r="E18" s="5">
        <v>-27.8</v>
      </c>
      <c r="F18" s="5">
        <v>2.58</v>
      </c>
      <c r="G18" s="5">
        <v>6.89</v>
      </c>
      <c r="H18" s="5">
        <v>2.44</v>
      </c>
      <c r="I18" s="5">
        <v>0.5</v>
      </c>
      <c r="J18" s="5" t="s">
        <v>23</v>
      </c>
      <c r="K18" s="5" t="s">
        <v>24</v>
      </c>
      <c r="L18" s="5" t="s">
        <v>25</v>
      </c>
      <c r="M18" s="5" t="s">
        <v>23</v>
      </c>
      <c r="N18" s="5" t="s">
        <v>9</v>
      </c>
      <c r="O18" s="5"/>
    </row>
    <row r="19" spans="1:15" x14ac:dyDescent="0.3">
      <c r="A19" s="5" t="s">
        <v>28</v>
      </c>
      <c r="B19" s="5" t="s">
        <v>29</v>
      </c>
      <c r="C19" s="5">
        <v>7.23</v>
      </c>
      <c r="D19" s="5">
        <v>64.099999999999994</v>
      </c>
      <c r="E19" s="5">
        <v>-0.6</v>
      </c>
      <c r="F19" s="5">
        <v>1.84</v>
      </c>
      <c r="G19" s="5">
        <v>7.0000000000000007E-2</v>
      </c>
      <c r="H19" s="5">
        <v>0.86</v>
      </c>
      <c r="I19" s="5">
        <v>0.95</v>
      </c>
      <c r="J19" s="5" t="s">
        <v>23</v>
      </c>
      <c r="K19" s="5" t="s">
        <v>24</v>
      </c>
      <c r="L19" s="5" t="s">
        <v>25</v>
      </c>
      <c r="M19" s="5" t="s">
        <v>23</v>
      </c>
      <c r="N19" s="5" t="s">
        <v>9</v>
      </c>
      <c r="O19" s="5"/>
    </row>
    <row r="20" spans="1:15" x14ac:dyDescent="0.3">
      <c r="A20" s="5" t="s">
        <v>29</v>
      </c>
      <c r="B20" s="5" t="s">
        <v>30</v>
      </c>
      <c r="C20" s="5">
        <v>5.24</v>
      </c>
      <c r="D20" s="5">
        <v>145.1</v>
      </c>
      <c r="E20" s="5">
        <v>-0.6</v>
      </c>
      <c r="F20" s="5">
        <v>1.42</v>
      </c>
      <c r="G20" s="5">
        <v>0.26</v>
      </c>
      <c r="H20" s="5">
        <v>2.4500000000000002</v>
      </c>
      <c r="I20" s="5">
        <v>0.38</v>
      </c>
      <c r="J20" s="5" t="s">
        <v>23</v>
      </c>
      <c r="K20" s="5" t="s">
        <v>24</v>
      </c>
      <c r="L20" s="5" t="s">
        <v>25</v>
      </c>
      <c r="M20" s="5" t="s">
        <v>23</v>
      </c>
      <c r="N20" s="5" t="s">
        <v>9</v>
      </c>
      <c r="O20" s="5"/>
    </row>
    <row r="21" spans="1:15" x14ac:dyDescent="0.3">
      <c r="A21" s="5" t="s">
        <v>30</v>
      </c>
      <c r="B21" s="5" t="s">
        <v>31</v>
      </c>
      <c r="C21" s="5">
        <v>11.2</v>
      </c>
      <c r="D21" s="5">
        <v>219.1</v>
      </c>
      <c r="E21" s="5">
        <v>16.899999999999999</v>
      </c>
      <c r="F21" s="5">
        <v>3.52</v>
      </c>
      <c r="G21" s="5">
        <v>13.39</v>
      </c>
      <c r="H21" s="5">
        <v>5.93</v>
      </c>
      <c r="I21" s="5">
        <v>1.1499999999999999</v>
      </c>
      <c r="J21" s="5" t="s">
        <v>23</v>
      </c>
      <c r="K21" s="5" t="s">
        <v>24</v>
      </c>
      <c r="L21" s="5" t="s">
        <v>25</v>
      </c>
      <c r="M21" s="5" t="s">
        <v>23</v>
      </c>
      <c r="N21" s="5" t="s">
        <v>9</v>
      </c>
      <c r="O21" s="5"/>
    </row>
    <row r="22" spans="1:15" x14ac:dyDescent="0.3">
      <c r="A22" s="5" t="s">
        <v>31</v>
      </c>
      <c r="B22" s="5" t="s">
        <v>32</v>
      </c>
      <c r="C22" s="5">
        <v>8.4</v>
      </c>
      <c r="D22" s="12">
        <v>146.1</v>
      </c>
      <c r="E22" s="5">
        <v>34.5</v>
      </c>
      <c r="F22" s="5">
        <v>0.34</v>
      </c>
      <c r="G22" s="5">
        <v>0.15</v>
      </c>
      <c r="H22" s="5">
        <v>0.57999999999999996</v>
      </c>
      <c r="I22" s="5">
        <v>1.49</v>
      </c>
      <c r="J22" s="5" t="s">
        <v>23</v>
      </c>
      <c r="K22" s="5" t="s">
        <v>24</v>
      </c>
      <c r="L22" s="5" t="s">
        <v>25</v>
      </c>
      <c r="M22" s="5" t="s">
        <v>23</v>
      </c>
      <c r="N22" s="5" t="s">
        <v>9</v>
      </c>
      <c r="O22" s="5" t="s">
        <v>52</v>
      </c>
    </row>
    <row r="23" spans="1:15" x14ac:dyDescent="0.3">
      <c r="A23" s="5" t="s">
        <v>32</v>
      </c>
      <c r="B23" s="5" t="s">
        <v>33</v>
      </c>
      <c r="C23" s="5">
        <v>12.52</v>
      </c>
      <c r="D23" s="12">
        <v>211.2</v>
      </c>
      <c r="E23" s="5">
        <v>6.1</v>
      </c>
      <c r="F23" s="5">
        <v>2.58</v>
      </c>
      <c r="G23" s="5">
        <v>0.04</v>
      </c>
      <c r="H23" s="5">
        <v>1.52</v>
      </c>
      <c r="I23" s="5">
        <v>1.03</v>
      </c>
      <c r="J23" s="5" t="s">
        <v>23</v>
      </c>
      <c r="K23" s="5" t="s">
        <v>24</v>
      </c>
      <c r="L23" s="5" t="s">
        <v>25</v>
      </c>
      <c r="M23" s="5" t="s">
        <v>23</v>
      </c>
      <c r="N23" s="5" t="s">
        <v>9</v>
      </c>
      <c r="O23" s="5" t="s">
        <v>52</v>
      </c>
    </row>
    <row r="24" spans="1:15" x14ac:dyDescent="0.3">
      <c r="A24" s="5" t="s">
        <v>33</v>
      </c>
      <c r="B24" s="5" t="s">
        <v>34</v>
      </c>
      <c r="C24" s="5">
        <v>7.66</v>
      </c>
      <c r="D24" s="12">
        <v>321.60000000000002</v>
      </c>
      <c r="E24" s="5">
        <v>-10.1</v>
      </c>
      <c r="F24" s="5">
        <v>2.89</v>
      </c>
      <c r="G24" s="5">
        <v>14.1</v>
      </c>
      <c r="H24" s="5">
        <v>3.87</v>
      </c>
      <c r="I24" s="5">
        <v>1.03</v>
      </c>
      <c r="J24" s="5" t="s">
        <v>23</v>
      </c>
      <c r="K24" s="5" t="s">
        <v>24</v>
      </c>
      <c r="L24" s="5" t="s">
        <v>25</v>
      </c>
      <c r="M24" s="5" t="s">
        <v>23</v>
      </c>
      <c r="N24" s="5" t="s">
        <v>9</v>
      </c>
      <c r="O24" s="5" t="s">
        <v>52</v>
      </c>
    </row>
    <row r="25" spans="1:15" x14ac:dyDescent="0.3">
      <c r="A25" s="5" t="s">
        <v>34</v>
      </c>
      <c r="B25" s="5" t="s">
        <v>35</v>
      </c>
      <c r="C25" s="5">
        <v>8.2200000000000006</v>
      </c>
      <c r="D25" s="12">
        <v>301.60000000000002</v>
      </c>
      <c r="E25" s="5">
        <v>-23.9</v>
      </c>
      <c r="F25" s="5">
        <v>0</v>
      </c>
      <c r="G25" s="5">
        <v>0</v>
      </c>
      <c r="H25" s="5">
        <v>0</v>
      </c>
      <c r="I25" s="5">
        <v>0</v>
      </c>
      <c r="J25" s="5" t="s">
        <v>23</v>
      </c>
      <c r="K25" s="5" t="s">
        <v>24</v>
      </c>
      <c r="L25" s="5" t="s">
        <v>25</v>
      </c>
      <c r="M25" s="5" t="s">
        <v>23</v>
      </c>
      <c r="N25" s="5" t="s">
        <v>9</v>
      </c>
      <c r="O25" s="5" t="s">
        <v>52</v>
      </c>
    </row>
    <row r="26" spans="1:15" x14ac:dyDescent="0.3">
      <c r="A26" s="6" t="s">
        <v>36</v>
      </c>
      <c r="B26" s="6" t="s">
        <v>26</v>
      </c>
      <c r="C26" s="6">
        <v>12.49</v>
      </c>
      <c r="D26" s="6">
        <v>38.700000000000003</v>
      </c>
      <c r="E26" s="6">
        <v>-0.9</v>
      </c>
      <c r="F26" s="6">
        <v>1.95</v>
      </c>
      <c r="G26" s="6">
        <v>16.66</v>
      </c>
      <c r="H26" s="6">
        <v>6.18</v>
      </c>
      <c r="I26" s="6">
        <v>2.23</v>
      </c>
      <c r="J26" s="6" t="s">
        <v>23</v>
      </c>
      <c r="K26" s="6" t="s">
        <v>24</v>
      </c>
      <c r="L26" s="6" t="s">
        <v>25</v>
      </c>
      <c r="M26" s="6" t="s">
        <v>23</v>
      </c>
      <c r="N26" s="6" t="s">
        <v>17</v>
      </c>
      <c r="O26" s="6"/>
    </row>
    <row r="27" spans="1:15" x14ac:dyDescent="0.3">
      <c r="A27" s="6" t="s">
        <v>26</v>
      </c>
      <c r="B27" s="6" t="s">
        <v>27</v>
      </c>
      <c r="C27" s="6">
        <v>6.74</v>
      </c>
      <c r="D27" s="6">
        <v>40.200000000000003</v>
      </c>
      <c r="E27" s="6">
        <v>-2.4</v>
      </c>
      <c r="F27" s="6">
        <v>1.83</v>
      </c>
      <c r="G27" s="6">
        <v>16.79</v>
      </c>
      <c r="H27" s="6">
        <v>3.42</v>
      </c>
      <c r="I27" s="6">
        <v>2.0299999999999998</v>
      </c>
      <c r="J27" s="6" t="s">
        <v>23</v>
      </c>
      <c r="K27" s="6" t="s">
        <v>24</v>
      </c>
      <c r="L27" s="6" t="s">
        <v>25</v>
      </c>
      <c r="M27" s="6" t="s">
        <v>23</v>
      </c>
      <c r="N27" s="6" t="s">
        <v>17</v>
      </c>
      <c r="O27" s="6"/>
    </row>
    <row r="28" spans="1:15" x14ac:dyDescent="0.3">
      <c r="A28" s="6" t="s">
        <v>27</v>
      </c>
      <c r="B28" s="6" t="s">
        <v>28</v>
      </c>
      <c r="C28" s="6">
        <v>9.26</v>
      </c>
      <c r="D28" s="6">
        <v>60.4</v>
      </c>
      <c r="E28" s="6">
        <v>-27.3</v>
      </c>
      <c r="F28" s="6">
        <v>2.63</v>
      </c>
      <c r="G28" s="6">
        <v>7.47</v>
      </c>
      <c r="H28" s="6">
        <v>2.6</v>
      </c>
      <c r="I28" s="6">
        <v>0.52</v>
      </c>
      <c r="J28" s="6" t="s">
        <v>23</v>
      </c>
      <c r="K28" s="6" t="s">
        <v>24</v>
      </c>
      <c r="L28" s="6" t="s">
        <v>25</v>
      </c>
      <c r="M28" s="6" t="s">
        <v>23</v>
      </c>
      <c r="N28" s="6" t="s">
        <v>17</v>
      </c>
      <c r="O28" s="6"/>
    </row>
    <row r="29" spans="1:15" x14ac:dyDescent="0.3">
      <c r="A29" s="6" t="s">
        <v>28</v>
      </c>
      <c r="B29" s="6" t="s">
        <v>29</v>
      </c>
      <c r="C29" s="6">
        <v>7.33</v>
      </c>
      <c r="D29" s="6">
        <v>65.7</v>
      </c>
      <c r="E29" s="6">
        <v>-0.4</v>
      </c>
      <c r="F29" s="6">
        <v>2.38</v>
      </c>
      <c r="G29" s="6">
        <v>0</v>
      </c>
      <c r="H29" s="6">
        <v>0.92</v>
      </c>
      <c r="I29" s="6">
        <v>1.03</v>
      </c>
      <c r="J29" s="6" t="s">
        <v>23</v>
      </c>
      <c r="K29" s="6" t="s">
        <v>24</v>
      </c>
      <c r="L29" s="6" t="s">
        <v>25</v>
      </c>
      <c r="M29" s="6" t="s">
        <v>23</v>
      </c>
      <c r="N29" s="6" t="s">
        <v>17</v>
      </c>
      <c r="O29" s="6"/>
    </row>
    <row r="30" spans="1:15" x14ac:dyDescent="0.3">
      <c r="A30" s="6" t="s">
        <v>29</v>
      </c>
      <c r="B30" s="6" t="s">
        <v>30</v>
      </c>
      <c r="C30" s="6">
        <v>5.34</v>
      </c>
      <c r="D30" s="6">
        <v>152.30000000000001</v>
      </c>
      <c r="E30" s="6">
        <v>-0.4</v>
      </c>
      <c r="F30" s="6">
        <v>0.47</v>
      </c>
      <c r="G30" s="6">
        <v>2.25</v>
      </c>
      <c r="H30" s="6">
        <v>2.63</v>
      </c>
      <c r="I30" s="6">
        <v>0.31</v>
      </c>
      <c r="J30" s="6" t="s">
        <v>23</v>
      </c>
      <c r="K30" s="6" t="s">
        <v>24</v>
      </c>
      <c r="L30" s="6" t="s">
        <v>25</v>
      </c>
      <c r="M30" s="6" t="s">
        <v>23</v>
      </c>
      <c r="N30" s="6" t="s">
        <v>17</v>
      </c>
      <c r="O30" s="6"/>
    </row>
    <row r="31" spans="1:15" x14ac:dyDescent="0.3">
      <c r="A31" s="6" t="s">
        <v>30</v>
      </c>
      <c r="B31" s="6" t="s">
        <v>31</v>
      </c>
      <c r="C31" s="6">
        <v>11.26</v>
      </c>
      <c r="D31" s="6">
        <v>218.2</v>
      </c>
      <c r="E31" s="6">
        <v>16.899999999999999</v>
      </c>
      <c r="F31" s="6">
        <v>2.67</v>
      </c>
      <c r="G31" s="6">
        <v>12.52</v>
      </c>
      <c r="H31" s="6">
        <v>5.42</v>
      </c>
      <c r="I31" s="6">
        <v>0.74</v>
      </c>
      <c r="J31" s="6" t="s">
        <v>23</v>
      </c>
      <c r="K31" s="6" t="s">
        <v>24</v>
      </c>
      <c r="L31" s="6" t="s">
        <v>25</v>
      </c>
      <c r="M31" s="6" t="s">
        <v>23</v>
      </c>
      <c r="N31" s="6" t="s">
        <v>17</v>
      </c>
      <c r="O31" s="6"/>
    </row>
    <row r="32" spans="1:15" x14ac:dyDescent="0.3">
      <c r="A32" s="6" t="s">
        <v>31</v>
      </c>
      <c r="B32" s="6" t="s">
        <v>32</v>
      </c>
      <c r="C32" s="6">
        <v>8.48</v>
      </c>
      <c r="D32" s="6">
        <v>158.9</v>
      </c>
      <c r="E32" s="6">
        <v>34.4</v>
      </c>
      <c r="F32" s="6">
        <v>0.27</v>
      </c>
      <c r="G32" s="6">
        <v>15.8</v>
      </c>
      <c r="H32" s="6">
        <v>0.49</v>
      </c>
      <c r="I32" s="6">
        <v>2.2000000000000002</v>
      </c>
      <c r="J32" s="6" t="s">
        <v>23</v>
      </c>
      <c r="K32" s="6" t="s">
        <v>24</v>
      </c>
      <c r="L32" s="6" t="s">
        <v>25</v>
      </c>
      <c r="M32" s="6" t="s">
        <v>23</v>
      </c>
      <c r="N32" s="6" t="s">
        <v>17</v>
      </c>
      <c r="O32" s="6"/>
    </row>
    <row r="33" spans="1:15" x14ac:dyDescent="0.3">
      <c r="A33" s="6" t="s">
        <v>32</v>
      </c>
      <c r="B33" s="6" t="s">
        <v>33</v>
      </c>
      <c r="C33" s="6">
        <v>12.61</v>
      </c>
      <c r="D33" s="6">
        <v>222.9</v>
      </c>
      <c r="E33" s="6">
        <v>6.4</v>
      </c>
      <c r="F33" s="6">
        <v>1.43</v>
      </c>
      <c r="G33" s="6">
        <v>1.1499999999999999</v>
      </c>
      <c r="H33" s="6">
        <v>0.57999999999999996</v>
      </c>
      <c r="I33" s="6">
        <v>1.23</v>
      </c>
      <c r="J33" s="6" t="s">
        <v>23</v>
      </c>
      <c r="K33" s="6" t="s">
        <v>24</v>
      </c>
      <c r="L33" s="6" t="s">
        <v>25</v>
      </c>
      <c r="M33" s="6" t="s">
        <v>23</v>
      </c>
      <c r="N33" s="6" t="s">
        <v>17</v>
      </c>
      <c r="O33" s="6"/>
    </row>
    <row r="34" spans="1:15" x14ac:dyDescent="0.3">
      <c r="A34" s="6" t="s">
        <v>33</v>
      </c>
      <c r="B34" s="6" t="s">
        <v>34</v>
      </c>
      <c r="C34" s="6">
        <v>7.72</v>
      </c>
      <c r="D34" s="13">
        <v>313.8</v>
      </c>
      <c r="E34" s="6">
        <v>-9.5</v>
      </c>
      <c r="F34" s="6">
        <v>3.13</v>
      </c>
      <c r="G34" s="6">
        <v>14.1</v>
      </c>
      <c r="H34" s="6">
        <v>3.77</v>
      </c>
      <c r="I34" s="6">
        <v>1.44</v>
      </c>
      <c r="J34" s="6" t="s">
        <v>23</v>
      </c>
      <c r="K34" s="6" t="s">
        <v>24</v>
      </c>
      <c r="L34" s="6" t="s">
        <v>25</v>
      </c>
      <c r="M34" s="6" t="s">
        <v>23</v>
      </c>
      <c r="N34" s="6" t="s">
        <v>17</v>
      </c>
      <c r="O34" s="6" t="s">
        <v>52</v>
      </c>
    </row>
    <row r="35" spans="1:15" x14ac:dyDescent="0.3">
      <c r="A35" s="6" t="s">
        <v>34</v>
      </c>
      <c r="B35" s="6" t="s">
        <v>35</v>
      </c>
      <c r="C35" s="6">
        <v>8.32</v>
      </c>
      <c r="D35" s="13">
        <v>301.2</v>
      </c>
      <c r="E35" s="6">
        <v>-23.2</v>
      </c>
      <c r="F35" s="6">
        <v>0</v>
      </c>
      <c r="G35" s="6">
        <v>0</v>
      </c>
      <c r="H35" s="6">
        <v>0</v>
      </c>
      <c r="I35" s="6">
        <v>0</v>
      </c>
      <c r="J35" s="6" t="s">
        <v>23</v>
      </c>
      <c r="K35" s="6" t="s">
        <v>24</v>
      </c>
      <c r="L35" s="6" t="s">
        <v>25</v>
      </c>
      <c r="M35" s="6" t="s">
        <v>23</v>
      </c>
      <c r="N35" s="6" t="s">
        <v>17</v>
      </c>
      <c r="O35" s="6" t="s">
        <v>52</v>
      </c>
    </row>
    <row r="36" spans="1:15" x14ac:dyDescent="0.3">
      <c r="A36" s="8" t="s">
        <v>36</v>
      </c>
      <c r="B36" s="8" t="s">
        <v>26</v>
      </c>
      <c r="C36" s="8">
        <v>12.4</v>
      </c>
      <c r="D36" s="8">
        <v>34.6</v>
      </c>
      <c r="E36" s="8">
        <v>-1.1000000000000001</v>
      </c>
      <c r="F36" s="8">
        <v>1.19</v>
      </c>
      <c r="G36" s="8">
        <v>11.65</v>
      </c>
      <c r="H36" s="8">
        <v>7.66</v>
      </c>
      <c r="I36" s="8">
        <v>2.41</v>
      </c>
      <c r="J36" s="8" t="s">
        <v>23</v>
      </c>
      <c r="K36" s="8" t="s">
        <v>24</v>
      </c>
      <c r="L36" s="8" t="s">
        <v>25</v>
      </c>
      <c r="M36" s="8" t="s">
        <v>23</v>
      </c>
      <c r="N36" s="8" t="s">
        <v>20</v>
      </c>
      <c r="O36" s="8"/>
    </row>
    <row r="37" spans="1:15" x14ac:dyDescent="0.3">
      <c r="A37" s="8" t="s">
        <v>26</v>
      </c>
      <c r="B37" s="8" t="s">
        <v>27</v>
      </c>
      <c r="C37" s="8">
        <v>6.64</v>
      </c>
      <c r="D37" s="8">
        <v>41.9</v>
      </c>
      <c r="E37" s="8">
        <v>-2.5</v>
      </c>
      <c r="F37" s="8">
        <v>1.55</v>
      </c>
      <c r="G37" s="8">
        <v>15.44</v>
      </c>
      <c r="H37" s="8">
        <v>4.2699999999999996</v>
      </c>
      <c r="I37" s="8">
        <v>0</v>
      </c>
      <c r="J37" s="8" t="s">
        <v>23</v>
      </c>
      <c r="K37" s="8" t="s">
        <v>24</v>
      </c>
      <c r="L37" s="8" t="s">
        <v>25</v>
      </c>
      <c r="M37" s="8" t="s">
        <v>23</v>
      </c>
      <c r="N37" s="8" t="s">
        <v>20</v>
      </c>
      <c r="O37" s="8"/>
    </row>
    <row r="38" spans="1:15" x14ac:dyDescent="0.3">
      <c r="A38" s="8" t="s">
        <v>27</v>
      </c>
      <c r="B38" s="8" t="s">
        <v>28</v>
      </c>
      <c r="C38" s="8">
        <v>9.15</v>
      </c>
      <c r="D38" s="11">
        <v>87</v>
      </c>
      <c r="E38" s="8">
        <v>-27.9</v>
      </c>
      <c r="F38" s="8">
        <v>2.1800000000000002</v>
      </c>
      <c r="G38" s="8">
        <v>9.11</v>
      </c>
      <c r="H38" s="8">
        <v>2.48</v>
      </c>
      <c r="I38" s="8">
        <v>0.46</v>
      </c>
      <c r="J38" s="8" t="s">
        <v>23</v>
      </c>
      <c r="K38" s="8" t="s">
        <v>24</v>
      </c>
      <c r="L38" s="8" t="s">
        <v>25</v>
      </c>
      <c r="M38" s="8" t="s">
        <v>23</v>
      </c>
      <c r="N38" s="8" t="s">
        <v>20</v>
      </c>
      <c r="O38" s="8" t="s">
        <v>52</v>
      </c>
    </row>
    <row r="39" spans="1:15" x14ac:dyDescent="0.3">
      <c r="A39" s="8" t="s">
        <v>28</v>
      </c>
      <c r="B39" s="8" t="s">
        <v>29</v>
      </c>
      <c r="C39" s="8">
        <v>7.21</v>
      </c>
      <c r="D39" s="11">
        <v>76.2</v>
      </c>
      <c r="E39" s="8">
        <v>-0.3</v>
      </c>
      <c r="F39" s="8">
        <v>7.69</v>
      </c>
      <c r="G39" s="8">
        <v>0</v>
      </c>
      <c r="H39" s="8">
        <v>11.49</v>
      </c>
      <c r="I39" s="8">
        <v>0.95</v>
      </c>
      <c r="J39" s="8" t="s">
        <v>23</v>
      </c>
      <c r="K39" s="8" t="s">
        <v>24</v>
      </c>
      <c r="L39" s="8" t="s">
        <v>25</v>
      </c>
      <c r="M39" s="8" t="s">
        <v>23</v>
      </c>
      <c r="N39" s="8" t="s">
        <v>20</v>
      </c>
      <c r="O39" s="8" t="s">
        <v>52</v>
      </c>
    </row>
    <row r="40" spans="1:15" x14ac:dyDescent="0.3">
      <c r="A40" s="8" t="s">
        <v>29</v>
      </c>
      <c r="B40" s="8" t="s">
        <v>30</v>
      </c>
      <c r="C40" s="8">
        <v>5.26</v>
      </c>
      <c r="D40" s="11">
        <v>171</v>
      </c>
      <c r="E40" s="8">
        <v>0.1</v>
      </c>
      <c r="F40" s="8">
        <v>1.55</v>
      </c>
      <c r="G40" s="8">
        <v>7.02</v>
      </c>
      <c r="H40" s="8">
        <v>2.33</v>
      </c>
      <c r="I40" s="8">
        <v>0.47</v>
      </c>
      <c r="J40" s="8" t="s">
        <v>23</v>
      </c>
      <c r="K40" s="8" t="s">
        <v>24</v>
      </c>
      <c r="L40" s="8" t="s">
        <v>25</v>
      </c>
      <c r="M40" s="8" t="s">
        <v>23</v>
      </c>
      <c r="N40" s="8" t="s">
        <v>20</v>
      </c>
      <c r="O40" s="8" t="s">
        <v>52</v>
      </c>
    </row>
    <row r="41" spans="1:15" x14ac:dyDescent="0.3">
      <c r="A41" s="8" t="s">
        <v>30</v>
      </c>
      <c r="B41" s="8" t="s">
        <v>31</v>
      </c>
      <c r="C41" s="8">
        <v>11.22</v>
      </c>
      <c r="D41" s="11">
        <v>228.5</v>
      </c>
      <c r="E41" s="8">
        <v>17.2</v>
      </c>
      <c r="F41" s="8">
        <v>2.89</v>
      </c>
      <c r="G41" s="8">
        <v>11.1</v>
      </c>
      <c r="H41" s="8">
        <v>5.4</v>
      </c>
      <c r="I41" s="8">
        <v>0.81</v>
      </c>
      <c r="J41" s="8" t="s">
        <v>23</v>
      </c>
      <c r="K41" s="8" t="s">
        <v>24</v>
      </c>
      <c r="L41" s="8" t="s">
        <v>25</v>
      </c>
      <c r="M41" s="8" t="s">
        <v>23</v>
      </c>
      <c r="N41" s="8" t="s">
        <v>20</v>
      </c>
      <c r="O41" s="8" t="s">
        <v>52</v>
      </c>
    </row>
    <row r="42" spans="1:15" x14ac:dyDescent="0.3">
      <c r="A42" s="8" t="s">
        <v>31</v>
      </c>
      <c r="B42" s="8" t="s">
        <v>32</v>
      </c>
      <c r="C42" s="8">
        <v>8.3800000000000008</v>
      </c>
      <c r="D42" s="11">
        <v>182.6</v>
      </c>
      <c r="E42" s="8">
        <v>34.700000000000003</v>
      </c>
      <c r="F42" s="8">
        <v>0.35</v>
      </c>
      <c r="G42" s="8">
        <v>16.52</v>
      </c>
      <c r="H42" s="8">
        <v>17.03</v>
      </c>
      <c r="I42" s="8">
        <v>1.37</v>
      </c>
      <c r="J42" s="8" t="s">
        <v>23</v>
      </c>
      <c r="K42" s="8" t="s">
        <v>24</v>
      </c>
      <c r="L42" s="8" t="s">
        <v>25</v>
      </c>
      <c r="M42" s="8" t="s">
        <v>23</v>
      </c>
      <c r="N42" s="8" t="s">
        <v>20</v>
      </c>
      <c r="O42" s="8" t="s">
        <v>52</v>
      </c>
    </row>
    <row r="43" spans="1:15" x14ac:dyDescent="0.3">
      <c r="A43" s="8" t="s">
        <v>32</v>
      </c>
      <c r="B43" s="8" t="s">
        <v>33</v>
      </c>
      <c r="C43" s="8">
        <v>12.51</v>
      </c>
      <c r="D43" s="8">
        <v>226.2</v>
      </c>
      <c r="E43" s="8">
        <v>6.4</v>
      </c>
      <c r="F43" s="8">
        <v>1.35</v>
      </c>
      <c r="G43" s="8">
        <v>0.49</v>
      </c>
      <c r="H43" s="8">
        <v>0.54</v>
      </c>
      <c r="I43" s="8">
        <v>0.92</v>
      </c>
      <c r="J43" s="8" t="s">
        <v>23</v>
      </c>
      <c r="K43" s="8" t="s">
        <v>24</v>
      </c>
      <c r="L43" s="8" t="s">
        <v>25</v>
      </c>
      <c r="M43" s="8" t="s">
        <v>23</v>
      </c>
      <c r="N43" s="8" t="s">
        <v>20</v>
      </c>
      <c r="O43" s="8"/>
    </row>
    <row r="44" spans="1:15" x14ac:dyDescent="0.3">
      <c r="A44" s="8" t="s">
        <v>33</v>
      </c>
      <c r="B44" s="8" t="s">
        <v>34</v>
      </c>
      <c r="C44" s="8">
        <v>7.62</v>
      </c>
      <c r="D44" s="11">
        <v>285.3</v>
      </c>
      <c r="E44" s="8">
        <v>-9.6999999999999993</v>
      </c>
      <c r="F44" s="8">
        <v>2.67</v>
      </c>
      <c r="G44" s="8">
        <v>10.36</v>
      </c>
      <c r="H44" s="8">
        <v>3.85</v>
      </c>
      <c r="I44" s="8">
        <v>1.62</v>
      </c>
      <c r="J44" s="8" t="s">
        <v>23</v>
      </c>
      <c r="K44" s="8" t="s">
        <v>24</v>
      </c>
      <c r="L44" s="8" t="s">
        <v>25</v>
      </c>
      <c r="M44" s="8" t="s">
        <v>23</v>
      </c>
      <c r="N44" s="8" t="s">
        <v>20</v>
      </c>
      <c r="O44" s="8" t="s">
        <v>52</v>
      </c>
    </row>
    <row r="45" spans="1:15" x14ac:dyDescent="0.3">
      <c r="A45" s="8" t="s">
        <v>34</v>
      </c>
      <c r="B45" s="8" t="s">
        <v>35</v>
      </c>
      <c r="C45" s="8">
        <v>8.2200000000000006</v>
      </c>
      <c r="D45" s="11">
        <v>268</v>
      </c>
      <c r="E45" s="8">
        <v>-23.6</v>
      </c>
      <c r="F45" s="8">
        <v>0</v>
      </c>
      <c r="G45" s="8">
        <v>0</v>
      </c>
      <c r="H45" s="8">
        <v>0</v>
      </c>
      <c r="I45" s="8">
        <v>0</v>
      </c>
      <c r="J45" s="8" t="s">
        <v>23</v>
      </c>
      <c r="K45" s="8" t="s">
        <v>24</v>
      </c>
      <c r="L45" s="8" t="s">
        <v>25</v>
      </c>
      <c r="M45" s="8" t="s">
        <v>23</v>
      </c>
      <c r="N45" s="8" t="s">
        <v>20</v>
      </c>
      <c r="O45" s="8" t="s">
        <v>52</v>
      </c>
    </row>
    <row r="46" spans="1:15" x14ac:dyDescent="0.3">
      <c r="A46" s="9" t="s">
        <v>36</v>
      </c>
      <c r="B46" s="9" t="s">
        <v>26</v>
      </c>
      <c r="C46" s="9">
        <v>12.55</v>
      </c>
      <c r="D46" s="9">
        <v>36.9</v>
      </c>
      <c r="E46" s="9">
        <v>-2</v>
      </c>
      <c r="F46" s="9">
        <v>0</v>
      </c>
      <c r="G46" s="9">
        <v>0</v>
      </c>
      <c r="H46" s="9">
        <v>0</v>
      </c>
      <c r="I46" s="9">
        <v>0</v>
      </c>
      <c r="J46" s="9" t="s">
        <v>23</v>
      </c>
      <c r="K46" s="9" t="s">
        <v>24</v>
      </c>
      <c r="L46" s="9" t="s">
        <v>25</v>
      </c>
      <c r="M46" s="9" t="s">
        <v>23</v>
      </c>
      <c r="N46" s="9" t="s">
        <v>21</v>
      </c>
      <c r="O46" s="9"/>
    </row>
    <row r="47" spans="1:15" x14ac:dyDescent="0.3">
      <c r="A47" s="9" t="s">
        <v>26</v>
      </c>
      <c r="B47" s="9" t="s">
        <v>27</v>
      </c>
      <c r="C47" s="9">
        <v>6.8</v>
      </c>
      <c r="D47" s="9">
        <v>37.799999999999997</v>
      </c>
      <c r="E47" s="9">
        <v>-4</v>
      </c>
      <c r="F47" s="9">
        <v>0</v>
      </c>
      <c r="G47" s="9">
        <v>0</v>
      </c>
      <c r="H47" s="9">
        <v>0</v>
      </c>
      <c r="I47" s="9">
        <v>0</v>
      </c>
      <c r="J47" s="9" t="s">
        <v>23</v>
      </c>
      <c r="K47" s="9" t="s">
        <v>24</v>
      </c>
      <c r="L47" s="9" t="s">
        <v>25</v>
      </c>
      <c r="M47" s="9" t="s">
        <v>23</v>
      </c>
      <c r="N47" s="9" t="s">
        <v>21</v>
      </c>
      <c r="O47" s="9"/>
    </row>
    <row r="48" spans="1:15" x14ac:dyDescent="0.3">
      <c r="A48" s="9" t="s">
        <v>27</v>
      </c>
      <c r="B48" s="9" t="s">
        <v>28</v>
      </c>
      <c r="C48" s="9">
        <v>9.3800000000000008</v>
      </c>
      <c r="D48" s="9">
        <v>62.999999999999993</v>
      </c>
      <c r="E48" s="9">
        <v>-28</v>
      </c>
      <c r="F48" s="9">
        <v>0</v>
      </c>
      <c r="G48" s="9">
        <v>0</v>
      </c>
      <c r="H48" s="9">
        <v>0</v>
      </c>
      <c r="I48" s="9">
        <v>0</v>
      </c>
      <c r="J48" s="9" t="s">
        <v>23</v>
      </c>
      <c r="K48" s="9" t="s">
        <v>24</v>
      </c>
      <c r="L48" s="9" t="s">
        <v>25</v>
      </c>
      <c r="M48" s="9" t="s">
        <v>23</v>
      </c>
      <c r="N48" s="9" t="s">
        <v>21</v>
      </c>
      <c r="O48" s="9"/>
    </row>
    <row r="49" spans="1:15" x14ac:dyDescent="0.3">
      <c r="A49" s="9" t="s">
        <v>28</v>
      </c>
      <c r="B49" s="9" t="s">
        <v>29</v>
      </c>
      <c r="C49" s="9">
        <v>7.41</v>
      </c>
      <c r="D49" s="9">
        <v>66.599999999999994</v>
      </c>
      <c r="E49" s="9">
        <v>-1</v>
      </c>
      <c r="F49" s="9">
        <v>0</v>
      </c>
      <c r="G49" s="9">
        <v>0</v>
      </c>
      <c r="H49" s="9">
        <v>0</v>
      </c>
      <c r="I49" s="9">
        <v>0</v>
      </c>
      <c r="J49" s="9" t="s">
        <v>23</v>
      </c>
      <c r="K49" s="9" t="s">
        <v>24</v>
      </c>
      <c r="L49" s="9" t="s">
        <v>25</v>
      </c>
      <c r="M49" s="9" t="s">
        <v>23</v>
      </c>
      <c r="N49" s="9" t="s">
        <v>21</v>
      </c>
      <c r="O49" s="9"/>
    </row>
    <row r="50" spans="1:15" x14ac:dyDescent="0.3">
      <c r="A50" s="9" t="s">
        <v>29</v>
      </c>
      <c r="B50" s="9" t="s">
        <v>30</v>
      </c>
      <c r="C50" s="9">
        <v>5.46</v>
      </c>
      <c r="D50" s="9">
        <v>156.6</v>
      </c>
      <c r="E50" s="9">
        <v>-1</v>
      </c>
      <c r="F50" s="9">
        <v>0</v>
      </c>
      <c r="G50" s="9">
        <v>0</v>
      </c>
      <c r="H50" s="9">
        <v>0</v>
      </c>
      <c r="I50" s="9">
        <v>0</v>
      </c>
      <c r="J50" s="9" t="s">
        <v>23</v>
      </c>
      <c r="K50" s="9" t="s">
        <v>24</v>
      </c>
      <c r="L50" s="9" t="s">
        <v>25</v>
      </c>
      <c r="M50" s="9" t="s">
        <v>23</v>
      </c>
      <c r="N50" s="9" t="s">
        <v>21</v>
      </c>
      <c r="O50" s="9"/>
    </row>
    <row r="51" spans="1:15" x14ac:dyDescent="0.3">
      <c r="A51" s="9" t="s">
        <v>30</v>
      </c>
      <c r="B51" s="9" t="s">
        <v>31</v>
      </c>
      <c r="C51" s="9">
        <v>11.39</v>
      </c>
      <c r="D51" s="9">
        <v>216</v>
      </c>
      <c r="E51" s="9">
        <v>17</v>
      </c>
      <c r="F51" s="9">
        <v>0</v>
      </c>
      <c r="G51" s="9">
        <v>0</v>
      </c>
      <c r="H51" s="9">
        <v>0</v>
      </c>
      <c r="I51" s="9">
        <v>0</v>
      </c>
      <c r="J51" s="9" t="s">
        <v>23</v>
      </c>
      <c r="K51" s="9" t="s">
        <v>24</v>
      </c>
      <c r="L51" s="9" t="s">
        <v>25</v>
      </c>
      <c r="M51" s="9" t="s">
        <v>23</v>
      </c>
      <c r="N51" s="9" t="s">
        <v>21</v>
      </c>
      <c r="O51" s="9"/>
    </row>
    <row r="52" spans="1:15" x14ac:dyDescent="0.3">
      <c r="A52" s="9" t="s">
        <v>31</v>
      </c>
      <c r="B52" s="9" t="s">
        <v>32</v>
      </c>
      <c r="C52" s="9">
        <v>8.58</v>
      </c>
      <c r="D52" s="9">
        <v>164.70000000000002</v>
      </c>
      <c r="E52" s="9">
        <v>34</v>
      </c>
      <c r="F52" s="9">
        <v>0</v>
      </c>
      <c r="G52" s="9">
        <v>0</v>
      </c>
      <c r="H52" s="9">
        <v>0</v>
      </c>
      <c r="I52" s="9">
        <v>0</v>
      </c>
      <c r="J52" s="9" t="s">
        <v>23</v>
      </c>
      <c r="K52" s="9" t="s">
        <v>24</v>
      </c>
      <c r="L52" s="9" t="s">
        <v>25</v>
      </c>
      <c r="M52" s="9" t="s">
        <v>23</v>
      </c>
      <c r="N52" s="9" t="s">
        <v>21</v>
      </c>
      <c r="O52" s="9"/>
    </row>
    <row r="53" spans="1:15" x14ac:dyDescent="0.3">
      <c r="A53" s="9" t="s">
        <v>32</v>
      </c>
      <c r="B53" s="9" t="s">
        <v>33</v>
      </c>
      <c r="C53" s="9">
        <v>12.7</v>
      </c>
      <c r="D53" s="9">
        <v>224.1</v>
      </c>
      <c r="E53" s="9">
        <v>8</v>
      </c>
      <c r="F53" s="9">
        <v>0</v>
      </c>
      <c r="G53" s="9">
        <v>0</v>
      </c>
      <c r="H53" s="9">
        <v>0</v>
      </c>
      <c r="I53" s="9">
        <v>0</v>
      </c>
      <c r="J53" s="9" t="s">
        <v>23</v>
      </c>
      <c r="K53" s="9" t="s">
        <v>24</v>
      </c>
      <c r="L53" s="9" t="s">
        <v>25</v>
      </c>
      <c r="M53" s="9" t="s">
        <v>23</v>
      </c>
      <c r="N53" s="9" t="s">
        <v>21</v>
      </c>
      <c r="O53" s="9"/>
    </row>
    <row r="54" spans="1:15" x14ac:dyDescent="0.3">
      <c r="A54" s="9" t="s">
        <v>33</v>
      </c>
      <c r="B54" s="9" t="s">
        <v>34</v>
      </c>
      <c r="C54" s="9">
        <v>7.85</v>
      </c>
      <c r="D54" s="9">
        <v>302.39999999999998</v>
      </c>
      <c r="E54" s="9">
        <v>-11</v>
      </c>
      <c r="F54" s="9">
        <v>0</v>
      </c>
      <c r="G54" s="9">
        <v>0</v>
      </c>
      <c r="H54" s="9">
        <v>0</v>
      </c>
      <c r="I54" s="9">
        <v>0</v>
      </c>
      <c r="J54" s="9" t="s">
        <v>23</v>
      </c>
      <c r="K54" s="9" t="s">
        <v>24</v>
      </c>
      <c r="L54" s="9" t="s">
        <v>25</v>
      </c>
      <c r="M54" s="9" t="s">
        <v>23</v>
      </c>
      <c r="N54" s="9" t="s">
        <v>21</v>
      </c>
      <c r="O54" s="9"/>
    </row>
    <row r="55" spans="1:15" x14ac:dyDescent="0.3">
      <c r="A55" s="9" t="s">
        <v>34</v>
      </c>
      <c r="B55" s="9" t="s">
        <v>35</v>
      </c>
      <c r="C55" s="9">
        <v>8.3800000000000008</v>
      </c>
      <c r="D55" s="9">
        <v>286.2</v>
      </c>
      <c r="E55" s="9">
        <v>-24</v>
      </c>
      <c r="F55" s="9">
        <v>0</v>
      </c>
      <c r="G55" s="9">
        <v>0</v>
      </c>
      <c r="H55" s="9">
        <v>0</v>
      </c>
      <c r="I55" s="9">
        <v>0</v>
      </c>
      <c r="J55" s="9" t="s">
        <v>23</v>
      </c>
      <c r="K55" s="9" t="s">
        <v>24</v>
      </c>
      <c r="L55" s="9" t="s">
        <v>25</v>
      </c>
      <c r="M55" s="9" t="s">
        <v>23</v>
      </c>
      <c r="N55" s="9" t="s">
        <v>21</v>
      </c>
      <c r="O55" s="9"/>
    </row>
  </sheetData>
  <autoFilter ref="A5:N55" xr:uid="{A171CAE5-E541-4160-AB5F-74E523AFE0D4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B6DF-204B-416F-A67E-CE8C5AD581BE}">
  <dimension ref="A1:C3"/>
  <sheetViews>
    <sheetView workbookViewId="0">
      <selection activeCell="A4" sqref="A4"/>
    </sheetView>
  </sheetViews>
  <sheetFormatPr baseColWidth="10" defaultRowHeight="14" x14ac:dyDescent="0.3"/>
  <sheetData>
    <row r="1" spans="1:3" x14ac:dyDescent="0.3">
      <c r="B1" t="s">
        <v>47</v>
      </c>
      <c r="C1" t="s">
        <v>36</v>
      </c>
    </row>
    <row r="3" spans="1:3" x14ac:dyDescent="0.3">
      <c r="A3" t="e">
        <f>DAVERAGE(C3:E53,D:D,"ENT0")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Feuil3</vt:lpstr>
      <vt:lpstr>Feuil6</vt:lpstr>
      <vt:lpstr>Feuil3!Grotte_du_Prayet_1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Le Bel</dc:creator>
  <cp:lastModifiedBy>A. PONT</cp:lastModifiedBy>
  <dcterms:created xsi:type="dcterms:W3CDTF">2015-06-05T18:19:34Z</dcterms:created>
  <dcterms:modified xsi:type="dcterms:W3CDTF">2023-03-08T11:15:19Z</dcterms:modified>
</cp:coreProperties>
</file>